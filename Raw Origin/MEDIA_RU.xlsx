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8.xml" ContentType="application/vnd.openxmlformats-officedocument.drawingml.chartshapes+xml"/>
  <Override PartName="/xl/drawings/drawing9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10.xml" ContentType="application/vnd.openxmlformats-officedocument.drawingml.chartshapes+xml"/>
  <Override PartName="/xl/drawings/drawing11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12.xml" ContentType="application/vnd.openxmlformats-officedocument.drawingml.chartshapes+xml"/>
  <Override PartName="/xl/drawings/drawing1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14.xml" ContentType="application/vnd.openxmlformats-officedocument.drawingml.chartshapes+xml"/>
  <Override PartName="/xl/drawings/drawing1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16.xml" ContentType="application/vnd.openxmlformats-officedocument.drawingml.chartshapes+xml"/>
  <Override PartName="/xl/drawings/drawing17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8.xml" ContentType="application/vnd.openxmlformats-officedocument.drawingml.chartshapes+xml"/>
  <Override PartName="/xl/drawings/drawing1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20.xml" ContentType="application/vnd.openxmlformats-officedocument.drawingml.chartshapes+xml"/>
  <Override PartName="/xl/drawings/drawing21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22.xml" ContentType="application/vnd.openxmlformats-officedocument.drawingml.chartshapes+xml"/>
  <Override PartName="/xl/drawings/drawing23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24.xml" ContentType="application/vnd.openxmlformats-officedocument.drawingml.chartshapes+xml"/>
  <Override PartName="/xl/drawings/drawing25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26.xml" ContentType="application/vnd.openxmlformats-officedocument.drawingml.chartshapes+xml"/>
  <Override PartName="/xl/drawings/drawing27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28.xml" ContentType="application/vnd.openxmlformats-officedocument.drawingml.chartshapes+xml"/>
  <Override PartName="/xl/drawings/drawing29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30.xml" ContentType="application/vnd.openxmlformats-officedocument.drawingml.chartshapes+xml"/>
  <Override PartName="/xl/drawings/drawing31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32.xml" ContentType="application/vnd.openxmlformats-officedocument.drawingml.chartshapes+xml"/>
  <Override PartName="/xl/drawings/drawing33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34.xml" ContentType="application/vnd.openxmlformats-officedocument.drawingml.chartshapes+xml"/>
  <Override PartName="/xl/drawings/drawing35.xml" ContentType="application/vnd.openxmlformats-officedocument.drawing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36.xml" ContentType="application/vnd.openxmlformats-officedocument.drawingml.chartshapes+xml"/>
  <Override PartName="/xl/drawings/drawing37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drawings/drawing38.xml" ContentType="application/vnd.openxmlformats-officedocument.drawingml.chartshapes+xml"/>
  <Override PartName="/xl/drawings/drawing39.xml" ContentType="application/vnd.openxmlformats-officedocument.drawing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40.xml" ContentType="application/vnd.openxmlformats-officedocument.drawingml.chartshapes+xml"/>
  <Override PartName="/xl/drawings/drawing41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drawings/drawing42.xml" ContentType="application/vnd.openxmlformats-officedocument.drawingml.chartsha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fubr-my.sharepoint.com/personal/mortix_ufu_br/Documents/"/>
    </mc:Choice>
  </mc:AlternateContent>
  <xr:revisionPtr revIDLastSave="0" documentId="8_{239937D4-0769-4784-9972-B68B92851603}" xr6:coauthVersionLast="47" xr6:coauthVersionMax="47" xr10:uidLastSave="{00000000-0000-0000-0000-000000000000}"/>
  <bookViews>
    <workbookView xWindow="-108" yWindow="-108" windowWidth="23256" windowHeight="13176" firstSheet="18" activeTab="18" xr2:uid="{1FD57FFC-C045-45E9-87BE-EA45CE724AD6}"/>
  </bookViews>
  <sheets>
    <sheet name="SEMANA 14" sheetId="1" r:id="rId1"/>
    <sheet name="SEMANA 15" sheetId="2" r:id="rId2"/>
    <sheet name="SEMANA 16" sheetId="3" r:id="rId3"/>
    <sheet name="SEMANA 17" sheetId="4" r:id="rId4"/>
    <sheet name="SEMANA 21" sheetId="5" r:id="rId5"/>
    <sheet name="SEMANA 22" sheetId="6" r:id="rId6"/>
    <sheet name="SEMANA 23" sheetId="7" r:id="rId7"/>
    <sheet name="SEMANA 24" sheetId="8" r:id="rId8"/>
    <sheet name="SEMANA 25" sheetId="9" r:id="rId9"/>
    <sheet name="SEMANA 26" sheetId="10" r:id="rId10"/>
    <sheet name="SEMANA 27" sheetId="11" r:id="rId11"/>
    <sheet name="SEMANA 28" sheetId="12" r:id="rId12"/>
    <sheet name="SEMANA 29" sheetId="13" r:id="rId13"/>
    <sheet name="SEMANA 31" sheetId="14" r:id="rId14"/>
    <sheet name="SEMANA 32" sheetId="15" r:id="rId15"/>
    <sheet name="SEMANA 33" sheetId="16" r:id="rId16"/>
    <sheet name="SEMANA 34" sheetId="17" r:id="rId17"/>
    <sheet name="SEMANA 35" sheetId="18" r:id="rId18"/>
    <sheet name="SEMANA 36" sheetId="19" r:id="rId19"/>
    <sheet name="SEMANA 37" sheetId="20" r:id="rId20"/>
    <sheet name="SEMANA 38" sheetId="21" r:id="rId21"/>
    <sheet name="SEMANA 39" sheetId="22" r:id="rId22"/>
    <sheet name="SEMANA 40" sheetId="23" r:id="rId23"/>
    <sheet name="SEMANA 41" sheetId="24" r:id="rId24"/>
    <sheet name="SEMANA 42" sheetId="25" r:id="rId25"/>
    <sheet name="SEMANA 43" sheetId="26" r:id="rId26"/>
    <sheet name="SEMANA 44" sheetId="27" r:id="rId27"/>
    <sheet name="SEMANA 45" sheetId="28" r:id="rId2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7" i="28" l="1"/>
  <c r="F26" i="28"/>
  <c r="E26" i="28"/>
  <c r="D26" i="28"/>
  <c r="C26" i="28"/>
  <c r="B26" i="28"/>
  <c r="F25" i="28"/>
  <c r="E25" i="28"/>
  <c r="D25" i="28"/>
  <c r="C25" i="28"/>
  <c r="B25" i="28"/>
  <c r="G23" i="28"/>
  <c r="G22" i="28"/>
  <c r="G21" i="28"/>
  <c r="G20" i="28"/>
  <c r="G19" i="28"/>
  <c r="G18" i="28"/>
  <c r="G17" i="28"/>
  <c r="G16" i="28"/>
  <c r="G15" i="28"/>
  <c r="G14" i="28"/>
  <c r="G13" i="28"/>
  <c r="G12" i="28"/>
  <c r="G11" i="28"/>
  <c r="G10" i="28"/>
  <c r="G9" i="28"/>
  <c r="G8" i="28"/>
  <c r="G7" i="28"/>
  <c r="G6" i="28"/>
  <c r="G5" i="28"/>
  <c r="G4" i="28"/>
  <c r="G3" i="28"/>
  <c r="G2" i="28"/>
  <c r="H22" i="28" l="1"/>
  <c r="H18" i="28"/>
  <c r="H14" i="28"/>
  <c r="H10" i="28"/>
  <c r="H6" i="28"/>
  <c r="H25" i="28"/>
  <c r="H26" i="28" s="1"/>
  <c r="I27" i="28" s="1"/>
  <c r="H2" i="28"/>
  <c r="H27" i="27" l="1"/>
  <c r="F26" i="27"/>
  <c r="E26" i="27"/>
  <c r="D26" i="27"/>
  <c r="C26" i="27"/>
  <c r="B26" i="27"/>
  <c r="F25" i="27"/>
  <c r="E25" i="27"/>
  <c r="D25" i="27"/>
  <c r="C25" i="27"/>
  <c r="B25" i="27"/>
  <c r="G23" i="27"/>
  <c r="G22" i="27"/>
  <c r="H22" i="27" s="1"/>
  <c r="G21" i="27"/>
  <c r="G20" i="27"/>
  <c r="G19" i="27"/>
  <c r="G18" i="27"/>
  <c r="G17" i="27"/>
  <c r="G16" i="27"/>
  <c r="G15" i="27"/>
  <c r="G14" i="27"/>
  <c r="G13" i="27"/>
  <c r="G12" i="27"/>
  <c r="G11" i="27"/>
  <c r="G10" i="27"/>
  <c r="G9" i="27"/>
  <c r="G8" i="27"/>
  <c r="G7" i="27"/>
  <c r="G6" i="27"/>
  <c r="G5" i="27"/>
  <c r="G4" i="27"/>
  <c r="G3" i="27"/>
  <c r="G2" i="27"/>
  <c r="H18" i="27" l="1"/>
  <c r="H14" i="27"/>
  <c r="H10" i="27"/>
  <c r="H6" i="27"/>
  <c r="H25" i="27"/>
  <c r="H26" i="27" s="1"/>
  <c r="I27" i="27" s="1"/>
  <c r="H2" i="27"/>
  <c r="H27" i="6"/>
  <c r="H27" i="25"/>
  <c r="F26" i="26"/>
  <c r="E26" i="26"/>
  <c r="D26" i="26"/>
  <c r="C26" i="26"/>
  <c r="B26" i="26"/>
  <c r="F25" i="26"/>
  <c r="E25" i="26"/>
  <c r="D25" i="26"/>
  <c r="C25" i="26"/>
  <c r="B25" i="26"/>
  <c r="G23" i="26"/>
  <c r="G22" i="26"/>
  <c r="H22" i="26" s="1"/>
  <c r="G21" i="26"/>
  <c r="G20" i="26"/>
  <c r="G19" i="26"/>
  <c r="G18" i="26"/>
  <c r="G17" i="26"/>
  <c r="G16" i="26"/>
  <c r="G15" i="26"/>
  <c r="G14" i="26"/>
  <c r="G13" i="26"/>
  <c r="G12" i="26"/>
  <c r="G11" i="26"/>
  <c r="G10" i="26"/>
  <c r="G9" i="26"/>
  <c r="G8" i="26"/>
  <c r="G7" i="26"/>
  <c r="G6" i="26"/>
  <c r="G5" i="26"/>
  <c r="G4" i="26"/>
  <c r="G3" i="26"/>
  <c r="G2" i="26"/>
  <c r="F26" i="25"/>
  <c r="E26" i="25"/>
  <c r="D26" i="25"/>
  <c r="C26" i="25"/>
  <c r="B26" i="25"/>
  <c r="F25" i="25"/>
  <c r="E25" i="25"/>
  <c r="D25" i="25"/>
  <c r="C25" i="25"/>
  <c r="B25" i="25"/>
  <c r="G23" i="25"/>
  <c r="G22" i="25"/>
  <c r="G21" i="25"/>
  <c r="G20" i="25"/>
  <c r="G19" i="25"/>
  <c r="G18" i="25"/>
  <c r="G17" i="25"/>
  <c r="G16" i="25"/>
  <c r="G15" i="25"/>
  <c r="G14" i="25"/>
  <c r="G13" i="25"/>
  <c r="G12" i="25"/>
  <c r="G11" i="25"/>
  <c r="G10" i="25"/>
  <c r="G9" i="25"/>
  <c r="G8" i="25"/>
  <c r="G7" i="25"/>
  <c r="G6" i="25"/>
  <c r="G5" i="25"/>
  <c r="G4" i="25"/>
  <c r="G3" i="25"/>
  <c r="G2" i="25"/>
  <c r="F26" i="24"/>
  <c r="E26" i="24"/>
  <c r="D26" i="24"/>
  <c r="C26" i="24"/>
  <c r="B26" i="24"/>
  <c r="F25" i="24"/>
  <c r="E25" i="24"/>
  <c r="D25" i="24"/>
  <c r="C25" i="24"/>
  <c r="B25" i="24"/>
  <c r="G23" i="24"/>
  <c r="H22" i="24"/>
  <c r="G22" i="24"/>
  <c r="G21" i="24"/>
  <c r="G20" i="24"/>
  <c r="G19" i="24"/>
  <c r="G18" i="24"/>
  <c r="G17" i="24"/>
  <c r="G16" i="24"/>
  <c r="G15" i="24"/>
  <c r="G14" i="24"/>
  <c r="G13" i="24"/>
  <c r="G12" i="24"/>
  <c r="G11" i="24"/>
  <c r="G10" i="24"/>
  <c r="G9" i="24"/>
  <c r="G8" i="24"/>
  <c r="G7" i="24"/>
  <c r="G6" i="24"/>
  <c r="G5" i="24"/>
  <c r="G4" i="24"/>
  <c r="G3" i="24"/>
  <c r="G2" i="24"/>
  <c r="F26" i="23"/>
  <c r="E26" i="23"/>
  <c r="D26" i="23"/>
  <c r="C26" i="23"/>
  <c r="B26" i="23"/>
  <c r="F25" i="23"/>
  <c r="E25" i="23"/>
  <c r="D25" i="23"/>
  <c r="C25" i="23"/>
  <c r="B25" i="23"/>
  <c r="G23" i="23"/>
  <c r="G22" i="23"/>
  <c r="G21" i="23"/>
  <c r="G20" i="23"/>
  <c r="G19" i="23"/>
  <c r="G18" i="23"/>
  <c r="G17" i="23"/>
  <c r="G16" i="23"/>
  <c r="G15" i="23"/>
  <c r="G14" i="23"/>
  <c r="G13" i="23"/>
  <c r="G12" i="23"/>
  <c r="G11" i="23"/>
  <c r="G10" i="23"/>
  <c r="G9" i="23"/>
  <c r="G8" i="23"/>
  <c r="G7" i="23"/>
  <c r="G6" i="23"/>
  <c r="G5" i="23"/>
  <c r="G4" i="23"/>
  <c r="G3" i="23"/>
  <c r="G2" i="23"/>
  <c r="H27" i="22"/>
  <c r="F26" i="22"/>
  <c r="E26" i="22"/>
  <c r="D26" i="22"/>
  <c r="C26" i="22"/>
  <c r="B26" i="22"/>
  <c r="F25" i="22"/>
  <c r="E25" i="22"/>
  <c r="D25" i="22"/>
  <c r="C25" i="22"/>
  <c r="B25" i="22"/>
  <c r="G23" i="22"/>
  <c r="G22" i="22"/>
  <c r="G21" i="22"/>
  <c r="G20" i="22"/>
  <c r="G19" i="22"/>
  <c r="G18" i="22"/>
  <c r="G17" i="22"/>
  <c r="G16" i="22"/>
  <c r="G15" i="22"/>
  <c r="G14" i="22"/>
  <c r="G13" i="22"/>
  <c r="G12" i="22"/>
  <c r="G11" i="22"/>
  <c r="G10" i="22"/>
  <c r="G9" i="22"/>
  <c r="G8" i="22"/>
  <c r="G7" i="22"/>
  <c r="G6" i="22"/>
  <c r="G5" i="22"/>
  <c r="G4" i="22"/>
  <c r="G3" i="22"/>
  <c r="G2" i="22"/>
  <c r="H27" i="21"/>
  <c r="F26" i="21"/>
  <c r="E26" i="21"/>
  <c r="D26" i="21"/>
  <c r="C26" i="21"/>
  <c r="B26" i="21"/>
  <c r="F25" i="21"/>
  <c r="E25" i="21"/>
  <c r="D25" i="21"/>
  <c r="C25" i="21"/>
  <c r="B25" i="21"/>
  <c r="G23" i="21"/>
  <c r="G22" i="21"/>
  <c r="G21" i="21"/>
  <c r="G20" i="21"/>
  <c r="G19" i="21"/>
  <c r="G18" i="21"/>
  <c r="G17" i="21"/>
  <c r="G16" i="21"/>
  <c r="G15" i="21"/>
  <c r="G14" i="21"/>
  <c r="G13" i="21"/>
  <c r="G12" i="21"/>
  <c r="G11" i="21"/>
  <c r="G10" i="21"/>
  <c r="G9" i="21"/>
  <c r="G8" i="21"/>
  <c r="G7" i="21"/>
  <c r="G6" i="21"/>
  <c r="G5" i="21"/>
  <c r="G4" i="21"/>
  <c r="G3" i="21"/>
  <c r="G2" i="21"/>
  <c r="H27" i="20"/>
  <c r="F26" i="20"/>
  <c r="E26" i="20"/>
  <c r="D26" i="20"/>
  <c r="C26" i="20"/>
  <c r="B26" i="20"/>
  <c r="F25" i="20"/>
  <c r="E25" i="20"/>
  <c r="D25" i="20"/>
  <c r="C25" i="20"/>
  <c r="B25" i="20"/>
  <c r="G23" i="20"/>
  <c r="G22" i="20"/>
  <c r="G21" i="20"/>
  <c r="G20" i="20"/>
  <c r="G19" i="20"/>
  <c r="G18" i="20"/>
  <c r="G17" i="20"/>
  <c r="G16" i="20"/>
  <c r="G15" i="20"/>
  <c r="G14" i="20"/>
  <c r="G13" i="20"/>
  <c r="G12" i="20"/>
  <c r="G11" i="20"/>
  <c r="G10" i="20"/>
  <c r="G9" i="20"/>
  <c r="G8" i="20"/>
  <c r="G7" i="20"/>
  <c r="G6" i="20"/>
  <c r="G5" i="20"/>
  <c r="G4" i="20"/>
  <c r="G3" i="20"/>
  <c r="G2" i="20"/>
  <c r="H27" i="19"/>
  <c r="F26" i="19"/>
  <c r="E26" i="19"/>
  <c r="D26" i="19"/>
  <c r="C26" i="19"/>
  <c r="B26" i="19"/>
  <c r="F25" i="19"/>
  <c r="E25" i="19"/>
  <c r="D25" i="19"/>
  <c r="C25" i="19"/>
  <c r="B25" i="19"/>
  <c r="G23" i="19"/>
  <c r="H22" i="19"/>
  <c r="G22" i="19"/>
  <c r="G21" i="19"/>
  <c r="G20" i="19"/>
  <c r="G19" i="19"/>
  <c r="G18" i="19"/>
  <c r="G17" i="19"/>
  <c r="G16" i="19"/>
  <c r="G15" i="19"/>
  <c r="G14" i="19"/>
  <c r="G13" i="19"/>
  <c r="G12" i="19"/>
  <c r="G11" i="19"/>
  <c r="G10" i="19"/>
  <c r="G9" i="19"/>
  <c r="G8" i="19"/>
  <c r="G7" i="19"/>
  <c r="G6" i="19"/>
  <c r="G5" i="19"/>
  <c r="G4" i="19"/>
  <c r="G3" i="19"/>
  <c r="G2" i="19"/>
  <c r="H27" i="18"/>
  <c r="F26" i="18"/>
  <c r="E26" i="18"/>
  <c r="D26" i="18"/>
  <c r="C26" i="18"/>
  <c r="B26" i="18"/>
  <c r="F25" i="18"/>
  <c r="E25" i="18"/>
  <c r="D25" i="18"/>
  <c r="C25" i="18"/>
  <c r="B25" i="18"/>
  <c r="G23" i="18"/>
  <c r="G22" i="18"/>
  <c r="H22" i="18" s="1"/>
  <c r="G21" i="18"/>
  <c r="G20" i="18"/>
  <c r="G19" i="18"/>
  <c r="G18" i="18"/>
  <c r="G17" i="18"/>
  <c r="G16" i="18"/>
  <c r="G15" i="18"/>
  <c r="G14" i="18"/>
  <c r="G13" i="18"/>
  <c r="G12" i="18"/>
  <c r="G11" i="18"/>
  <c r="G10" i="18"/>
  <c r="G9" i="18"/>
  <c r="G8" i="18"/>
  <c r="G7" i="18"/>
  <c r="G6" i="18"/>
  <c r="G5" i="18"/>
  <c r="G4" i="18"/>
  <c r="G3" i="18"/>
  <c r="G2" i="18"/>
  <c r="H27" i="17"/>
  <c r="F26" i="17"/>
  <c r="E26" i="17"/>
  <c r="D26" i="17"/>
  <c r="C26" i="17"/>
  <c r="B26" i="17"/>
  <c r="F25" i="17"/>
  <c r="E25" i="17"/>
  <c r="D25" i="17"/>
  <c r="C25" i="17"/>
  <c r="B25" i="17"/>
  <c r="G23" i="17"/>
  <c r="G22" i="17"/>
  <c r="G21" i="17"/>
  <c r="G20" i="17"/>
  <c r="G19" i="17"/>
  <c r="G18" i="17"/>
  <c r="G17" i="17"/>
  <c r="G16" i="17"/>
  <c r="G15" i="17"/>
  <c r="G14" i="17"/>
  <c r="G13" i="17"/>
  <c r="G12" i="17"/>
  <c r="G11" i="17"/>
  <c r="G10" i="17"/>
  <c r="G9" i="17"/>
  <c r="G8" i="17"/>
  <c r="G7" i="17"/>
  <c r="G6" i="17"/>
  <c r="G5" i="17"/>
  <c r="G4" i="17"/>
  <c r="G3" i="17"/>
  <c r="G2" i="17"/>
  <c r="H27" i="16"/>
  <c r="F26" i="16"/>
  <c r="E26" i="16"/>
  <c r="D26" i="16"/>
  <c r="C26" i="16"/>
  <c r="B26" i="16"/>
  <c r="F25" i="16"/>
  <c r="E25" i="16"/>
  <c r="D25" i="16"/>
  <c r="C25" i="16"/>
  <c r="B25" i="16"/>
  <c r="G23" i="16"/>
  <c r="H22" i="16"/>
  <c r="G22" i="16"/>
  <c r="G21" i="16"/>
  <c r="G20" i="16"/>
  <c r="G19" i="16"/>
  <c r="H18" i="16" s="1"/>
  <c r="G18" i="16"/>
  <c r="G17" i="16"/>
  <c r="G16" i="16"/>
  <c r="G15" i="16"/>
  <c r="G14" i="16"/>
  <c r="H14" i="16" s="1"/>
  <c r="G13" i="16"/>
  <c r="G12" i="16"/>
  <c r="G11" i="16"/>
  <c r="G10" i="16"/>
  <c r="H10" i="16" s="1"/>
  <c r="G9" i="16"/>
  <c r="G8" i="16"/>
  <c r="G7" i="16"/>
  <c r="H6" i="16"/>
  <c r="G6" i="16"/>
  <c r="G5" i="16"/>
  <c r="G4" i="16"/>
  <c r="G3" i="16"/>
  <c r="H2" i="16" s="1"/>
  <c r="G2" i="16"/>
  <c r="H25" i="16" s="1"/>
  <c r="H27" i="15"/>
  <c r="F26" i="15"/>
  <c r="E26" i="15"/>
  <c r="D26" i="15"/>
  <c r="C26" i="15"/>
  <c r="B26" i="15"/>
  <c r="F25" i="15"/>
  <c r="E25" i="15"/>
  <c r="D25" i="15"/>
  <c r="C25" i="15"/>
  <c r="B25" i="15"/>
  <c r="G23" i="15"/>
  <c r="G22" i="15"/>
  <c r="G21" i="15"/>
  <c r="G20" i="15"/>
  <c r="G19" i="15"/>
  <c r="G18" i="15"/>
  <c r="G17" i="15"/>
  <c r="G16" i="15"/>
  <c r="G15" i="15"/>
  <c r="G14" i="15"/>
  <c r="G13" i="15"/>
  <c r="G12" i="15"/>
  <c r="G11" i="15"/>
  <c r="G10" i="15"/>
  <c r="G9" i="15"/>
  <c r="G8" i="15"/>
  <c r="G7" i="15"/>
  <c r="G6" i="15"/>
  <c r="G5" i="15"/>
  <c r="G4" i="15"/>
  <c r="G3" i="15"/>
  <c r="G2" i="15"/>
  <c r="H27" i="14"/>
  <c r="F26" i="14"/>
  <c r="E26" i="14"/>
  <c r="D26" i="14"/>
  <c r="C26" i="14"/>
  <c r="B26" i="14"/>
  <c r="F25" i="14"/>
  <c r="E25" i="14"/>
  <c r="D25" i="14"/>
  <c r="C25" i="14"/>
  <c r="B25" i="14"/>
  <c r="G23" i="14"/>
  <c r="G22" i="14"/>
  <c r="G21" i="14"/>
  <c r="G20" i="14"/>
  <c r="G19" i="14"/>
  <c r="G18" i="14"/>
  <c r="G17" i="14"/>
  <c r="G16" i="14"/>
  <c r="G15" i="14"/>
  <c r="G14" i="14"/>
  <c r="G13" i="14"/>
  <c r="G12" i="14"/>
  <c r="G11" i="14"/>
  <c r="G10" i="14"/>
  <c r="G9" i="14"/>
  <c r="G8" i="14"/>
  <c r="G7" i="14"/>
  <c r="G6" i="14"/>
  <c r="G5" i="14"/>
  <c r="G4" i="14"/>
  <c r="G3" i="14"/>
  <c r="G2" i="14"/>
  <c r="H27" i="13"/>
  <c r="F26" i="13"/>
  <c r="E26" i="13"/>
  <c r="D26" i="13"/>
  <c r="C26" i="13"/>
  <c r="B26" i="13"/>
  <c r="F25" i="13"/>
  <c r="E25" i="13"/>
  <c r="D25" i="13"/>
  <c r="C25" i="13"/>
  <c r="B25" i="13"/>
  <c r="G23" i="13"/>
  <c r="G22" i="13"/>
  <c r="G21" i="13"/>
  <c r="G20" i="13"/>
  <c r="G19" i="13"/>
  <c r="G18" i="13"/>
  <c r="G17" i="13"/>
  <c r="G16" i="13"/>
  <c r="G15" i="13"/>
  <c r="G14" i="13"/>
  <c r="G13" i="13"/>
  <c r="G12" i="13"/>
  <c r="G11" i="13"/>
  <c r="G10" i="13"/>
  <c r="G9" i="13"/>
  <c r="G8" i="13"/>
  <c r="G7" i="13"/>
  <c r="G6" i="13"/>
  <c r="G5" i="13"/>
  <c r="G4" i="13"/>
  <c r="G3" i="13"/>
  <c r="G2" i="13"/>
  <c r="H27" i="12"/>
  <c r="F26" i="12"/>
  <c r="E26" i="12"/>
  <c r="D26" i="12"/>
  <c r="C26" i="12"/>
  <c r="B26" i="12"/>
  <c r="F25" i="12"/>
  <c r="E25" i="12"/>
  <c r="D25" i="12"/>
  <c r="C25" i="12"/>
  <c r="B25" i="12"/>
  <c r="G23" i="12"/>
  <c r="G22" i="12"/>
  <c r="G21" i="12"/>
  <c r="G20" i="12"/>
  <c r="G19" i="12"/>
  <c r="G18" i="12"/>
  <c r="G17" i="12"/>
  <c r="G16" i="12"/>
  <c r="G15" i="12"/>
  <c r="G14" i="12"/>
  <c r="G13" i="12"/>
  <c r="G12" i="12"/>
  <c r="G11" i="12"/>
  <c r="G10" i="12"/>
  <c r="G9" i="12"/>
  <c r="G8" i="12"/>
  <c r="G7" i="12"/>
  <c r="G6" i="12"/>
  <c r="G5" i="12"/>
  <c r="G4" i="12"/>
  <c r="G3" i="12"/>
  <c r="G2" i="12"/>
  <c r="H27" i="11"/>
  <c r="F26" i="11"/>
  <c r="E26" i="11"/>
  <c r="D26" i="11"/>
  <c r="C26" i="11"/>
  <c r="B26" i="11"/>
  <c r="F25" i="11"/>
  <c r="E25" i="11"/>
  <c r="D25" i="11"/>
  <c r="C25" i="11"/>
  <c r="B25" i="11"/>
  <c r="G23" i="11"/>
  <c r="G22" i="11"/>
  <c r="G21" i="11"/>
  <c r="G20" i="11"/>
  <c r="G19" i="11"/>
  <c r="G18" i="11"/>
  <c r="G17" i="11"/>
  <c r="G16" i="11"/>
  <c r="G15" i="11"/>
  <c r="G14" i="11"/>
  <c r="G13" i="11"/>
  <c r="G12" i="11"/>
  <c r="G11" i="11"/>
  <c r="G10" i="11"/>
  <c r="G9" i="11"/>
  <c r="G8" i="11"/>
  <c r="G7" i="11"/>
  <c r="G6" i="11"/>
  <c r="G5" i="11"/>
  <c r="G4" i="11"/>
  <c r="G3" i="11"/>
  <c r="G2" i="11"/>
  <c r="H27" i="10"/>
  <c r="F26" i="10"/>
  <c r="E26" i="10"/>
  <c r="D26" i="10"/>
  <c r="C26" i="10"/>
  <c r="B26" i="10"/>
  <c r="F25" i="10"/>
  <c r="E25" i="10"/>
  <c r="D25" i="10"/>
  <c r="C25" i="10"/>
  <c r="B25" i="10"/>
  <c r="G23" i="10"/>
  <c r="G22" i="10"/>
  <c r="G21" i="10"/>
  <c r="G20" i="10"/>
  <c r="G19" i="10"/>
  <c r="G18" i="10"/>
  <c r="G17" i="10"/>
  <c r="G16" i="10"/>
  <c r="G15" i="10"/>
  <c r="G14" i="10"/>
  <c r="G13" i="10"/>
  <c r="G12" i="10"/>
  <c r="G11" i="10"/>
  <c r="G10" i="10"/>
  <c r="G9" i="10"/>
  <c r="G8" i="10"/>
  <c r="G7" i="10"/>
  <c r="G6" i="10"/>
  <c r="G5" i="10"/>
  <c r="G4" i="10"/>
  <c r="G3" i="10"/>
  <c r="G2" i="10"/>
  <c r="H27" i="9"/>
  <c r="F26" i="9"/>
  <c r="E26" i="9"/>
  <c r="D26" i="9"/>
  <c r="C26" i="9"/>
  <c r="B26" i="9"/>
  <c r="F25" i="9"/>
  <c r="E25" i="9"/>
  <c r="D25" i="9"/>
  <c r="C25" i="9"/>
  <c r="B25" i="9"/>
  <c r="G23" i="9"/>
  <c r="G22" i="9"/>
  <c r="G21" i="9"/>
  <c r="G20" i="9"/>
  <c r="G19" i="9"/>
  <c r="G18" i="9"/>
  <c r="G17" i="9"/>
  <c r="G16" i="9"/>
  <c r="G15" i="9"/>
  <c r="G14" i="9"/>
  <c r="G13" i="9"/>
  <c r="G12" i="9"/>
  <c r="G11" i="9"/>
  <c r="G10" i="9"/>
  <c r="G9" i="9"/>
  <c r="G8" i="9"/>
  <c r="G7" i="9"/>
  <c r="G6" i="9"/>
  <c r="G5" i="9"/>
  <c r="G4" i="9"/>
  <c r="G3" i="9"/>
  <c r="G2" i="9"/>
  <c r="H18" i="1"/>
  <c r="H14" i="1"/>
  <c r="H10" i="1"/>
  <c r="H6" i="1"/>
  <c r="H2" i="1"/>
  <c r="H18" i="2"/>
  <c r="H14" i="2"/>
  <c r="H10" i="2"/>
  <c r="H6" i="2"/>
  <c r="H2" i="2"/>
  <c r="H18" i="3"/>
  <c r="H14" i="3"/>
  <c r="H10" i="3"/>
  <c r="H6" i="3"/>
  <c r="H2" i="3"/>
  <c r="H18" i="4"/>
  <c r="H14" i="4"/>
  <c r="H10" i="4"/>
  <c r="H6" i="4"/>
  <c r="H2" i="4"/>
  <c r="H18" i="5"/>
  <c r="H14" i="5"/>
  <c r="H10" i="5"/>
  <c r="H6" i="5"/>
  <c r="H2" i="5"/>
  <c r="H18" i="6"/>
  <c r="H14" i="6"/>
  <c r="H10" i="6"/>
  <c r="H6" i="6"/>
  <c r="H2" i="6"/>
  <c r="H18" i="7"/>
  <c r="H14" i="7"/>
  <c r="H10" i="7"/>
  <c r="H6" i="7"/>
  <c r="H2" i="7"/>
  <c r="H14" i="8"/>
  <c r="H10" i="8"/>
  <c r="H6" i="8"/>
  <c r="D26" i="7"/>
  <c r="H26" i="7"/>
  <c r="H25" i="7"/>
  <c r="H2" i="8"/>
  <c r="H27" i="5"/>
  <c r="F26" i="5"/>
  <c r="E26" i="5"/>
  <c r="D26" i="5"/>
  <c r="C26" i="5"/>
  <c r="B26" i="5"/>
  <c r="F25" i="5"/>
  <c r="E25" i="5"/>
  <c r="D25" i="5"/>
  <c r="C25" i="5"/>
  <c r="B25" i="5"/>
  <c r="G23" i="5"/>
  <c r="G22" i="5"/>
  <c r="H22" i="5" s="1"/>
  <c r="G21" i="5"/>
  <c r="G20" i="5"/>
  <c r="G19" i="5"/>
  <c r="G18" i="5"/>
  <c r="G17" i="5"/>
  <c r="G16" i="5"/>
  <c r="G15" i="5"/>
  <c r="G14" i="5"/>
  <c r="G13" i="5"/>
  <c r="G12" i="5"/>
  <c r="G11" i="5"/>
  <c r="G10" i="5"/>
  <c r="G9" i="5"/>
  <c r="G8" i="5"/>
  <c r="G7" i="5"/>
  <c r="G6" i="5"/>
  <c r="G5" i="5"/>
  <c r="G4" i="5"/>
  <c r="G3" i="5"/>
  <c r="G2" i="5"/>
  <c r="H27" i="4"/>
  <c r="F26" i="4"/>
  <c r="E26" i="4"/>
  <c r="D26" i="4"/>
  <c r="C26" i="4"/>
  <c r="B26" i="4"/>
  <c r="F25" i="4"/>
  <c r="E25" i="4"/>
  <c r="D25" i="4"/>
  <c r="C25" i="4"/>
  <c r="B25" i="4"/>
  <c r="G23" i="4"/>
  <c r="G22" i="4"/>
  <c r="H22" i="4" s="1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G5" i="4"/>
  <c r="G4" i="4"/>
  <c r="G3" i="4"/>
  <c r="G2" i="4"/>
  <c r="H27" i="3"/>
  <c r="F26" i="3"/>
  <c r="E26" i="3"/>
  <c r="D26" i="3"/>
  <c r="C26" i="3"/>
  <c r="B26" i="3"/>
  <c r="F25" i="3"/>
  <c r="E25" i="3"/>
  <c r="D25" i="3"/>
  <c r="C25" i="3"/>
  <c r="B25" i="3"/>
  <c r="G23" i="3"/>
  <c r="G22" i="3"/>
  <c r="H22" i="3" s="1"/>
  <c r="G21" i="3"/>
  <c r="G20" i="3"/>
  <c r="G19" i="3"/>
  <c r="G18" i="3"/>
  <c r="G17" i="3"/>
  <c r="G16" i="3"/>
  <c r="G15" i="3"/>
  <c r="G14" i="3"/>
  <c r="G13" i="3"/>
  <c r="G12" i="3"/>
  <c r="G11" i="3"/>
  <c r="G10" i="3"/>
  <c r="G9" i="3"/>
  <c r="G8" i="3"/>
  <c r="G7" i="3"/>
  <c r="G6" i="3"/>
  <c r="G5" i="3"/>
  <c r="G4" i="3"/>
  <c r="G3" i="3"/>
  <c r="G2" i="3"/>
  <c r="B25" i="2"/>
  <c r="C25" i="2"/>
  <c r="D25" i="2"/>
  <c r="E25" i="2"/>
  <c r="F25" i="2"/>
  <c r="B26" i="2"/>
  <c r="C26" i="2"/>
  <c r="D26" i="2"/>
  <c r="E26" i="2"/>
  <c r="F26" i="2"/>
  <c r="H27" i="2"/>
  <c r="H27" i="7"/>
  <c r="G23" i="2"/>
  <c r="G22" i="2"/>
  <c r="H22" i="2" s="1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G3" i="2"/>
  <c r="G2" i="2"/>
  <c r="F26" i="1"/>
  <c r="E26" i="1"/>
  <c r="D26" i="1"/>
  <c r="C26" i="1"/>
  <c r="B26" i="1"/>
  <c r="F25" i="1"/>
  <c r="E25" i="1"/>
  <c r="D25" i="1"/>
  <c r="C25" i="1"/>
  <c r="B25" i="1"/>
  <c r="G23" i="1"/>
  <c r="H22" i="1" s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  <c r="R11" i="5"/>
  <c r="R5" i="5"/>
  <c r="P4" i="5"/>
  <c r="F26" i="8"/>
  <c r="E26" i="8"/>
  <c r="D26" i="8"/>
  <c r="C26" i="8"/>
  <c r="B26" i="8"/>
  <c r="F25" i="8"/>
  <c r="E25" i="8"/>
  <c r="D25" i="8"/>
  <c r="C25" i="8"/>
  <c r="B25" i="8"/>
  <c r="G23" i="8"/>
  <c r="G22" i="8"/>
  <c r="G21" i="8"/>
  <c r="G20" i="8"/>
  <c r="G19" i="8"/>
  <c r="G18" i="8"/>
  <c r="G17" i="8"/>
  <c r="G16" i="8"/>
  <c r="G15" i="8"/>
  <c r="G14" i="8"/>
  <c r="G13" i="8"/>
  <c r="G12" i="8"/>
  <c r="G11" i="8"/>
  <c r="G10" i="8"/>
  <c r="G9" i="8"/>
  <c r="G8" i="8"/>
  <c r="G7" i="8"/>
  <c r="G6" i="8"/>
  <c r="G5" i="8"/>
  <c r="G4" i="8"/>
  <c r="G3" i="8"/>
  <c r="G2" i="8"/>
  <c r="F25" i="7"/>
  <c r="F26" i="7"/>
  <c r="E26" i="7"/>
  <c r="C26" i="7"/>
  <c r="B26" i="7"/>
  <c r="E25" i="7"/>
  <c r="D25" i="7"/>
  <c r="C25" i="7"/>
  <c r="B25" i="7"/>
  <c r="G23" i="7"/>
  <c r="G22" i="7"/>
  <c r="G21" i="7"/>
  <c r="G20" i="7"/>
  <c r="G19" i="7"/>
  <c r="G18" i="7"/>
  <c r="G17" i="7"/>
  <c r="G16" i="7"/>
  <c r="G15" i="7"/>
  <c r="G14" i="7"/>
  <c r="G13" i="7"/>
  <c r="G12" i="7"/>
  <c r="G11" i="7"/>
  <c r="G10" i="7"/>
  <c r="G9" i="7"/>
  <c r="G8" i="7"/>
  <c r="G7" i="7"/>
  <c r="G6" i="7"/>
  <c r="G5" i="7"/>
  <c r="G4" i="7"/>
  <c r="G3" i="7"/>
  <c r="G2" i="7"/>
  <c r="F26" i="6"/>
  <c r="D26" i="6"/>
  <c r="E26" i="6"/>
  <c r="C26" i="6"/>
  <c r="B26" i="6"/>
  <c r="D25" i="6"/>
  <c r="E25" i="6"/>
  <c r="C25" i="6"/>
  <c r="B25" i="6"/>
  <c r="G23" i="6"/>
  <c r="G19" i="6"/>
  <c r="G20" i="6"/>
  <c r="G21" i="6"/>
  <c r="G15" i="6"/>
  <c r="G16" i="6"/>
  <c r="G17" i="6"/>
  <c r="G11" i="6"/>
  <c r="G12" i="6"/>
  <c r="G13" i="6"/>
  <c r="G7" i="6"/>
  <c r="G9" i="6"/>
  <c r="G8" i="6"/>
  <c r="G3" i="6"/>
  <c r="G5" i="6"/>
  <c r="G22" i="6"/>
  <c r="G18" i="6"/>
  <c r="G14" i="6"/>
  <c r="G6" i="6"/>
  <c r="G4" i="6"/>
  <c r="G2" i="6"/>
  <c r="H22" i="25" l="1"/>
  <c r="H18" i="25"/>
  <c r="H18" i="26"/>
  <c r="H14" i="26"/>
  <c r="H10" i="26"/>
  <c r="H6" i="26"/>
  <c r="H25" i="26"/>
  <c r="H26" i="26" s="1"/>
  <c r="H2" i="26"/>
  <c r="H14" i="25"/>
  <c r="H10" i="25"/>
  <c r="H6" i="25"/>
  <c r="H25" i="25"/>
  <c r="H26" i="25" s="1"/>
  <c r="H2" i="25"/>
  <c r="H22" i="23"/>
  <c r="H10" i="23"/>
  <c r="H18" i="24"/>
  <c r="H14" i="24"/>
  <c r="H10" i="24"/>
  <c r="H6" i="24"/>
  <c r="H25" i="24"/>
  <c r="H26" i="24" s="1"/>
  <c r="H18" i="23"/>
  <c r="H14" i="23"/>
  <c r="H6" i="23"/>
  <c r="H25" i="23"/>
  <c r="H26" i="23" s="1"/>
  <c r="H27" i="24" s="1"/>
  <c r="H2" i="23"/>
  <c r="H2" i="24"/>
  <c r="H22" i="22"/>
  <c r="H18" i="22"/>
  <c r="H14" i="22"/>
  <c r="H10" i="22"/>
  <c r="H6" i="22"/>
  <c r="H25" i="22"/>
  <c r="H26" i="22" s="1"/>
  <c r="H2" i="22"/>
  <c r="H22" i="21"/>
  <c r="H18" i="21"/>
  <c r="H14" i="21"/>
  <c r="H10" i="21"/>
  <c r="H6" i="21"/>
  <c r="H25" i="21"/>
  <c r="H26" i="21" s="1"/>
  <c r="I27" i="21" s="1"/>
  <c r="H2" i="21"/>
  <c r="H22" i="20"/>
  <c r="H10" i="20"/>
  <c r="H18" i="20"/>
  <c r="H14" i="20"/>
  <c r="H6" i="20"/>
  <c r="H25" i="20"/>
  <c r="H26" i="20" s="1"/>
  <c r="I27" i="20" s="1"/>
  <c r="H2" i="20"/>
  <c r="H18" i="19"/>
  <c r="H14" i="19"/>
  <c r="H10" i="19"/>
  <c r="H6" i="19"/>
  <c r="H25" i="19"/>
  <c r="H26" i="19" s="1"/>
  <c r="I27" i="19" s="1"/>
  <c r="H2" i="19"/>
  <c r="H18" i="18"/>
  <c r="H14" i="18"/>
  <c r="H10" i="18"/>
  <c r="H6" i="18"/>
  <c r="H25" i="18"/>
  <c r="H26" i="18" s="1"/>
  <c r="I27" i="18" s="1"/>
  <c r="H2" i="18"/>
  <c r="H22" i="17"/>
  <c r="H18" i="17"/>
  <c r="H14" i="17"/>
  <c r="H10" i="17"/>
  <c r="H6" i="17"/>
  <c r="H25" i="17"/>
  <c r="H26" i="17" s="1"/>
  <c r="I27" i="17" s="1"/>
  <c r="H2" i="17"/>
  <c r="H26" i="16"/>
  <c r="I27" i="16" s="1"/>
  <c r="H22" i="15"/>
  <c r="H18" i="15"/>
  <c r="H14" i="15"/>
  <c r="H10" i="15"/>
  <c r="H6" i="15"/>
  <c r="H25" i="15"/>
  <c r="H26" i="15" s="1"/>
  <c r="I27" i="15" s="1"/>
  <c r="H2" i="15"/>
  <c r="H22" i="14"/>
  <c r="H18" i="14"/>
  <c r="H14" i="14"/>
  <c r="H10" i="14"/>
  <c r="H6" i="14"/>
  <c r="H2" i="14"/>
  <c r="H25" i="14"/>
  <c r="H26" i="14" s="1"/>
  <c r="I27" i="14" s="1"/>
  <c r="H22" i="13"/>
  <c r="H14" i="13"/>
  <c r="H2" i="13"/>
  <c r="H6" i="13"/>
  <c r="H10" i="13"/>
  <c r="H25" i="13"/>
  <c r="H26" i="13" s="1"/>
  <c r="I27" i="13" s="1"/>
  <c r="H18" i="13"/>
  <c r="H22" i="12"/>
  <c r="H18" i="12"/>
  <c r="H14" i="12"/>
  <c r="H10" i="12"/>
  <c r="H6" i="12"/>
  <c r="H25" i="12"/>
  <c r="H26" i="12" s="1"/>
  <c r="I27" i="12" s="1"/>
  <c r="H2" i="12"/>
  <c r="H22" i="11"/>
  <c r="H18" i="11"/>
  <c r="H14" i="11"/>
  <c r="H10" i="11"/>
  <c r="H25" i="11"/>
  <c r="H26" i="11" s="1"/>
  <c r="I27" i="11" s="1"/>
  <c r="H6" i="11"/>
  <c r="H2" i="11"/>
  <c r="H2" i="10"/>
  <c r="H18" i="10"/>
  <c r="H22" i="10"/>
  <c r="H6" i="10"/>
  <c r="H10" i="10"/>
  <c r="H14" i="10"/>
  <c r="H25" i="10"/>
  <c r="H26" i="10" s="1"/>
  <c r="I27" i="10" s="1"/>
  <c r="H22" i="9"/>
  <c r="H6" i="9"/>
  <c r="H25" i="9"/>
  <c r="H26" i="9" s="1"/>
  <c r="I27" i="9" s="1"/>
  <c r="H10" i="9"/>
  <c r="H14" i="9"/>
  <c r="H18" i="9"/>
  <c r="H2" i="9"/>
  <c r="H22" i="8"/>
  <c r="H18" i="8"/>
  <c r="H25" i="8"/>
  <c r="H26" i="8" s="1"/>
  <c r="H25" i="5"/>
  <c r="H26" i="5" s="1"/>
  <c r="I27" i="5" s="1"/>
  <c r="H25" i="4"/>
  <c r="H26" i="4"/>
  <c r="I27" i="4" s="1"/>
  <c r="H25" i="3"/>
  <c r="H26" i="3" s="1"/>
  <c r="I27" i="3" s="1"/>
  <c r="H25" i="2"/>
  <c r="H26" i="2" s="1"/>
  <c r="I27" i="2" s="1"/>
  <c r="H25" i="1"/>
  <c r="H26" i="1"/>
  <c r="I27" i="1" s="1"/>
  <c r="H22" i="7"/>
  <c r="H27" i="8"/>
  <c r="H22" i="6"/>
  <c r="G10" i="6"/>
  <c r="F25" i="6"/>
  <c r="I27" i="25" l="1"/>
  <c r="H27" i="26"/>
  <c r="I27" i="26" s="1"/>
  <c r="I27" i="24"/>
  <c r="I27" i="22"/>
  <c r="H27" i="23"/>
  <c r="I27" i="23" s="1"/>
  <c r="I27" i="8"/>
  <c r="H25" i="6"/>
  <c r="H26" i="6" s="1"/>
  <c r="I27" i="6" l="1"/>
  <c r="I27" i="7"/>
</calcChain>
</file>

<file path=xl/sharedStrings.xml><?xml version="1.0" encoding="utf-8"?>
<sst xmlns="http://schemas.openxmlformats.org/spreadsheetml/2006/main" count="952" uniqueCount="34">
  <si>
    <t>🌟</t>
  </si>
  <si>
    <t>🌟🌟</t>
  </si>
  <si>
    <t>🌟🌟🌟</t>
  </si>
  <si>
    <t>🌟🌟🌟🌟</t>
  </si>
  <si>
    <t>🌟🌟🌟🌟🌟</t>
  </si>
  <si>
    <t>TOTAL DE VOTOS / REFEIÇÃO</t>
  </si>
  <si>
    <t>TOTAL POR DIA</t>
  </si>
  <si>
    <t>Segunda (Almoço)</t>
  </si>
  <si>
    <t>Segunda (Almoço) #2</t>
  </si>
  <si>
    <t>Segunda (Janta)</t>
  </si>
  <si>
    <t>Segunda (Janta) #2</t>
  </si>
  <si>
    <t>Terça (Almoço)</t>
  </si>
  <si>
    <t>Terça (Almoço) #2</t>
  </si>
  <si>
    <t>Terça (Janta)</t>
  </si>
  <si>
    <t>Terça (Janta) #2</t>
  </si>
  <si>
    <t>Quarta (Almoço)</t>
  </si>
  <si>
    <t>Quarta (Almoço) #2</t>
  </si>
  <si>
    <t>Quarta (Janta)</t>
  </si>
  <si>
    <t>Quarta (Janta) #2</t>
  </si>
  <si>
    <t>Quinta (Almoço)</t>
  </si>
  <si>
    <t>Quinta (Almoço) #2</t>
  </si>
  <si>
    <t>Quinta (Janta)</t>
  </si>
  <si>
    <t>Quinta (Janta) #2</t>
  </si>
  <si>
    <t>Sexta (Almoço)</t>
  </si>
  <si>
    <t>Sexta (Almoço) #2</t>
  </si>
  <si>
    <t>Sexta (Janta)</t>
  </si>
  <si>
    <t>Sexta (Janta) #2</t>
  </si>
  <si>
    <t>Sábado</t>
  </si>
  <si>
    <t>Sábado #2</t>
  </si>
  <si>
    <t>TOTAL DE ESTRELAS</t>
  </si>
  <si>
    <t>TOTAL DE VOTOS</t>
  </si>
  <si>
    <t>MEDIA POR ESTRELA</t>
  </si>
  <si>
    <t>MÉDIA DAS ESTRELAS</t>
  </si>
  <si>
    <t>MÉDIA ANTERIOR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</si>
</sst>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1"/>
      <color theme="1"/>
      <name val="Montserrat"/>
    </font>
    <font>
      <sz val="11"/>
      <color theme="1"/>
      <name val="Ubuntu"/>
      <family val="2"/>
    </font>
    <font>
      <sz val="11"/>
      <color theme="1"/>
      <name val="Red Hat Display"/>
    </font>
    <font>
      <sz val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1">
    <xf numFmtId="0" fontId="0" fillId="0" borderId="0" xfId="0"/>
    <xf numFmtId="0" fontId="0" fillId="9" borderId="0" xfId="0" applyFill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  <xf numFmtId="0" fontId="1" fillId="7" borderId="0" xfId="0" applyFont="1" applyFill="1"/>
    <xf numFmtId="0" fontId="1" fillId="8" borderId="0" xfId="0" applyFont="1" applyFill="1"/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0" borderId="0" xfId="0" applyFont="1"/>
    <xf numFmtId="0" fontId="3" fillId="10" borderId="6" xfId="0" applyFont="1" applyFill="1" applyBorder="1" applyAlignment="1">
      <alignment horizontal="center" vertical="center"/>
    </xf>
    <xf numFmtId="0" fontId="3" fillId="10" borderId="8" xfId="0" applyFont="1" applyFill="1" applyBorder="1" applyAlignment="1">
      <alignment horizontal="center" vertical="center"/>
    </xf>
    <xf numFmtId="0" fontId="3" fillId="10" borderId="9" xfId="0" applyFont="1" applyFill="1" applyBorder="1" applyAlignment="1">
      <alignment horizontal="center" vertical="center"/>
    </xf>
    <xf numFmtId="0" fontId="3" fillId="10" borderId="7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/>
    </xf>
    <xf numFmtId="0" fontId="2" fillId="4" borderId="11" xfId="0" applyFont="1" applyFill="1" applyBorder="1" applyAlignment="1">
      <alignment horizontal="center"/>
    </xf>
    <xf numFmtId="0" fontId="2" fillId="5" borderId="11" xfId="0" applyFont="1" applyFill="1" applyBorder="1" applyAlignment="1">
      <alignment horizontal="center"/>
    </xf>
    <xf numFmtId="0" fontId="2" fillId="7" borderId="11" xfId="0" applyFont="1" applyFill="1" applyBorder="1" applyAlignment="1">
      <alignment horizontal="center"/>
    </xf>
    <xf numFmtId="0" fontId="2" fillId="8" borderId="12" xfId="0" applyFont="1" applyFill="1" applyBorder="1" applyAlignment="1">
      <alignment horizontal="center"/>
    </xf>
    <xf numFmtId="0" fontId="3" fillId="10" borderId="8" xfId="0" applyFont="1" applyFill="1" applyBorder="1"/>
    <xf numFmtId="0" fontId="3" fillId="10" borderId="10" xfId="0" applyFont="1" applyFill="1" applyBorder="1"/>
    <xf numFmtId="0" fontId="2" fillId="4" borderId="13" xfId="0" applyFont="1" applyFill="1" applyBorder="1" applyAlignment="1">
      <alignment horizontal="center"/>
    </xf>
    <xf numFmtId="0" fontId="2" fillId="5" borderId="13" xfId="0" applyFont="1" applyFill="1" applyBorder="1" applyAlignment="1">
      <alignment horizontal="center"/>
    </xf>
    <xf numFmtId="0" fontId="2" fillId="7" borderId="13" xfId="0" applyFont="1" applyFill="1" applyBorder="1" applyAlignment="1">
      <alignment horizontal="center"/>
    </xf>
    <xf numFmtId="0" fontId="2" fillId="8" borderId="7" xfId="0" applyFont="1" applyFill="1" applyBorder="1" applyAlignment="1">
      <alignment horizontal="center"/>
    </xf>
    <xf numFmtId="0" fontId="3" fillId="11" borderId="8" xfId="0" applyFont="1" applyFill="1" applyBorder="1" applyAlignment="1">
      <alignment horizontal="center" vertical="center"/>
    </xf>
    <xf numFmtId="0" fontId="3" fillId="11" borderId="9" xfId="0" applyFont="1" applyFill="1" applyBorder="1" applyAlignment="1">
      <alignment horizontal="center" vertical="center"/>
    </xf>
    <xf numFmtId="0" fontId="3" fillId="11" borderId="14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2" fillId="3" borderId="15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2" fillId="2" borderId="16" xfId="0" applyFont="1" applyFill="1" applyBorder="1" applyAlignment="1">
      <alignment horizontal="left" vertical="center"/>
    </xf>
    <xf numFmtId="0" fontId="2" fillId="2" borderId="17" xfId="0" applyFont="1" applyFill="1" applyBorder="1" applyAlignment="1">
      <alignment horizontal="center" vertical="center"/>
    </xf>
    <xf numFmtId="0" fontId="2" fillId="2" borderId="18" xfId="0" applyFont="1" applyFill="1" applyBorder="1" applyAlignment="1">
      <alignment horizontal="center" vertical="center"/>
    </xf>
    <xf numFmtId="0" fontId="2" fillId="2" borderId="20" xfId="0" applyFont="1" applyFill="1" applyBorder="1" applyAlignment="1">
      <alignment horizontal="left" vertical="center"/>
    </xf>
    <xf numFmtId="0" fontId="2" fillId="2" borderId="8" xfId="0" applyFont="1" applyFill="1" applyBorder="1" applyAlignment="1">
      <alignment horizontal="left" vertical="center"/>
    </xf>
    <xf numFmtId="0" fontId="2" fillId="2" borderId="22" xfId="0" applyFont="1" applyFill="1" applyBorder="1" applyAlignment="1">
      <alignment horizontal="center" vertical="center"/>
    </xf>
    <xf numFmtId="0" fontId="2" fillId="2" borderId="23" xfId="0" applyFont="1" applyFill="1" applyBorder="1" applyAlignment="1">
      <alignment horizontal="center" vertical="center"/>
    </xf>
    <xf numFmtId="0" fontId="2" fillId="3" borderId="16" xfId="0" applyFont="1" applyFill="1" applyBorder="1" applyAlignment="1">
      <alignment horizontal="left"/>
    </xf>
    <xf numFmtId="0" fontId="2" fillId="3" borderId="17" xfId="0" applyFont="1" applyFill="1" applyBorder="1" applyAlignment="1">
      <alignment horizontal="center"/>
    </xf>
    <xf numFmtId="0" fontId="2" fillId="3" borderId="18" xfId="0" applyFont="1" applyFill="1" applyBorder="1" applyAlignment="1">
      <alignment horizontal="center" vertical="center"/>
    </xf>
    <xf numFmtId="0" fontId="2" fillId="3" borderId="20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2" fillId="3" borderId="22" xfId="0" applyFont="1" applyFill="1" applyBorder="1" applyAlignment="1">
      <alignment horizontal="center"/>
    </xf>
    <xf numFmtId="0" fontId="2" fillId="3" borderId="23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left"/>
    </xf>
    <xf numFmtId="0" fontId="2" fillId="2" borderId="17" xfId="0" applyFont="1" applyFill="1" applyBorder="1" applyAlignment="1">
      <alignment horizontal="center"/>
    </xf>
    <xf numFmtId="0" fontId="2" fillId="2" borderId="20" xfId="0" applyFont="1" applyFill="1" applyBorder="1" applyAlignment="1">
      <alignment horizontal="left"/>
    </xf>
    <xf numFmtId="0" fontId="2" fillId="2" borderId="8" xfId="0" applyFont="1" applyFill="1" applyBorder="1" applyAlignment="1">
      <alignment horizontal="left"/>
    </xf>
    <xf numFmtId="0" fontId="2" fillId="2" borderId="22" xfId="0" applyFont="1" applyFill="1" applyBorder="1" applyAlignment="1">
      <alignment horizontal="center"/>
    </xf>
    <xf numFmtId="0" fontId="2" fillId="3" borderId="16" xfId="0" applyFont="1" applyFill="1" applyBorder="1"/>
    <xf numFmtId="0" fontId="2" fillId="3" borderId="8" xfId="0" applyFont="1" applyFill="1" applyBorder="1"/>
    <xf numFmtId="0" fontId="2" fillId="3" borderId="24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/>
    </xf>
    <xf numFmtId="0" fontId="2" fillId="3" borderId="25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/>
    </xf>
    <xf numFmtId="0" fontId="2" fillId="3" borderId="25" xfId="0" applyFont="1" applyFill="1" applyBorder="1" applyAlignment="1">
      <alignment horizontal="center"/>
    </xf>
    <xf numFmtId="0" fontId="2" fillId="2" borderId="24" xfId="0" applyFont="1" applyFill="1" applyBorder="1" applyAlignment="1">
      <alignment horizontal="center" vertical="center"/>
    </xf>
    <xf numFmtId="0" fontId="2" fillId="3" borderId="24" xfId="0" applyFont="1" applyFill="1" applyBorder="1" applyAlignment="1">
      <alignment horizontal="center"/>
    </xf>
    <xf numFmtId="0" fontId="3" fillId="0" borderId="14" xfId="0" applyFont="1" applyBorder="1" applyAlignment="1">
      <alignment horizontal="center" vertical="center"/>
    </xf>
    <xf numFmtId="0" fontId="2" fillId="2" borderId="26" xfId="0" applyFont="1" applyFill="1" applyBorder="1" applyAlignment="1">
      <alignment horizontal="center" vertical="center"/>
    </xf>
    <xf numFmtId="0" fontId="2" fillId="3" borderId="27" xfId="0" applyFont="1" applyFill="1" applyBorder="1" applyAlignment="1">
      <alignment horizontal="center" vertical="center"/>
    </xf>
    <xf numFmtId="0" fontId="2" fillId="3" borderId="28" xfId="0" applyFont="1" applyFill="1" applyBorder="1" applyAlignment="1">
      <alignment horizontal="center" vertical="center"/>
    </xf>
    <xf numFmtId="0" fontId="2" fillId="3" borderId="29" xfId="0" applyFont="1" applyFill="1" applyBorder="1" applyAlignment="1">
      <alignment horizontal="center" vertical="center"/>
    </xf>
    <xf numFmtId="0" fontId="2" fillId="2" borderId="27" xfId="0" applyFont="1" applyFill="1" applyBorder="1" applyAlignment="1">
      <alignment horizontal="center" vertical="center"/>
    </xf>
    <xf numFmtId="0" fontId="2" fillId="2" borderId="28" xfId="0" applyFont="1" applyFill="1" applyBorder="1" applyAlignment="1">
      <alignment horizontal="center" vertical="center"/>
    </xf>
    <xf numFmtId="0" fontId="2" fillId="2" borderId="29" xfId="0" applyFont="1" applyFill="1" applyBorder="1" applyAlignment="1">
      <alignment horizontal="center" vertical="center"/>
    </xf>
    <xf numFmtId="0" fontId="2" fillId="3" borderId="19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" fillId="2" borderId="19" xfId="0" applyFont="1" applyFill="1" applyBorder="1" applyAlignment="1">
      <alignment horizontal="center" vertical="center"/>
    </xf>
    <xf numFmtId="0" fontId="2" fillId="2" borderId="21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ustomXml" Target="../customXml/item4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35" Type="http://schemas.openxmlformats.org/officeDocument/2006/relationships/customXml" Target="../customXml/item3.xml"/><Relationship Id="rId8" Type="http://schemas.openxmlformats.org/officeDocument/2006/relationships/worksheet" Target="worksheets/sheet8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8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0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2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4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6.xml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8.xml"/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0.xml"/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2.xml"/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4.xml"/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6.xml"/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8.xml"/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0.xml"/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2.xml"/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4.xml"/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6.xml"/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8.xml"/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0.xml"/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2.xml"/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t-BR"/>
              <a:t>Estrelas RU (Semana 24)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C101-43D1-8E16-5C35885613C7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C101-43D1-8E16-5C35885613C7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C101-43D1-8E16-5C35885613C7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C101-43D1-8E16-5C35885613C7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C101-43D1-8E16-5C35885613C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ln w="3175">
                      <a:noFill/>
                    </a:ln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'SEMANA 24'!$B$25:$F$25</c:f>
              <c:numCache>
                <c:formatCode>General</c:formatCode>
                <c:ptCount val="5"/>
                <c:pt idx="0">
                  <c:v>21</c:v>
                </c:pt>
                <c:pt idx="1">
                  <c:v>38</c:v>
                </c:pt>
                <c:pt idx="2">
                  <c:v>87</c:v>
                </c:pt>
                <c:pt idx="3">
                  <c:v>140</c:v>
                </c:pt>
                <c:pt idx="4">
                  <c:v>239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14-42E9-AE93-8E54F22F44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8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5.3164172158669476E-2"/>
          <c:y val="0.9042166386638848"/>
          <c:w val="0.24077559055118111"/>
          <c:h val="7.00939485368067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t-BR"/>
              <a:t>Estrelas RU (Semana 24)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1 Estrela</c:v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E103-46E8-B3A0-95C3AEEFB37B}"/>
              </c:ext>
            </c:extLst>
          </c:dPt>
          <c:dPt>
            <c:idx val="1"/>
            <c:invertIfNegative val="0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E103-46E8-B3A0-95C3AEEFB37B}"/>
              </c:ext>
            </c:extLst>
          </c:dPt>
          <c:dPt>
            <c:idx val="2"/>
            <c:invertIfNegative val="0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E103-46E8-B3A0-95C3AEEFB37B}"/>
              </c:ext>
            </c:extLst>
          </c:dPt>
          <c:dPt>
            <c:idx val="3"/>
            <c:invertIfNegative val="0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E103-46E8-B3A0-95C3AEEFB37B}"/>
              </c:ext>
            </c:extLst>
          </c:dPt>
          <c:dPt>
            <c:idx val="4"/>
            <c:invertIfNegative val="0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E103-46E8-B3A0-95C3AEEFB37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ln w="3175">
                      <a:noFill/>
                    </a:ln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'SEMANA 25'!$B$25</c:f>
              <c:numCache>
                <c:formatCode>General</c:formatCode>
                <c:ptCount val="1"/>
                <c:pt idx="0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E103-46E8-B3A0-95C3AEEFB37B}"/>
            </c:ext>
          </c:extLst>
        </c:ser>
        <c:ser>
          <c:idx val="1"/>
          <c:order val="1"/>
          <c:tx>
            <c:v>2 Estrelas</c:v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'SEMANA 25'!$C$25</c:f>
              <c:numCache>
                <c:formatCode>General</c:formatCode>
                <c:ptCount val="1"/>
                <c:pt idx="0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E103-46E8-B3A0-95C3AEEFB37B}"/>
            </c:ext>
          </c:extLst>
        </c:ser>
        <c:ser>
          <c:idx val="2"/>
          <c:order val="2"/>
          <c:tx>
            <c:v>3 Estrelas</c:v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'SEMANA 25'!$D$25</c:f>
              <c:numCache>
                <c:formatCode>General</c:formatCode>
                <c:ptCount val="1"/>
                <c:pt idx="0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E103-46E8-B3A0-95C3AEEFB37B}"/>
            </c:ext>
          </c:extLst>
        </c:ser>
        <c:ser>
          <c:idx val="3"/>
          <c:order val="3"/>
          <c:tx>
            <c:v>4 Estrelas</c:v>
          </c:tx>
          <c:spPr>
            <a:gradFill rotWithShape="1">
              <a:gsLst>
                <a:gs pos="0">
                  <a:schemeClr val="accent6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'SEMANA 25'!$E$25</c:f>
              <c:numCache>
                <c:formatCode>General</c:formatCode>
                <c:ptCount val="1"/>
                <c:pt idx="0">
                  <c:v>116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E103-46E8-B3A0-95C3AEEFB37B}"/>
            </c:ext>
          </c:extLst>
        </c:ser>
        <c:ser>
          <c:idx val="4"/>
          <c:order val="4"/>
          <c:tx>
            <c:v>5 Estrelas</c:v>
          </c:tx>
          <c:spPr>
            <a:gradFill rotWithShape="1">
              <a:gsLst>
                <a:gs pos="0">
                  <a:schemeClr val="accent5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'SEMANA 25'!$F$25</c:f>
              <c:numCache>
                <c:formatCode>General</c:formatCode>
                <c:ptCount val="1"/>
                <c:pt idx="0">
                  <c:v>253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E103-46E8-B3A0-95C3AEEFB3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734872720"/>
        <c:axId val="1734875600"/>
      </c:barChart>
      <c:valAx>
        <c:axId val="17348756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34872720"/>
        <c:crosses val="autoZero"/>
        <c:crossBetween val="between"/>
      </c:valAx>
      <c:catAx>
        <c:axId val="1734872720"/>
        <c:scaling>
          <c:orientation val="minMax"/>
        </c:scaling>
        <c:delete val="1"/>
        <c:axPos val="l"/>
        <c:majorTickMark val="out"/>
        <c:minorTickMark val="none"/>
        <c:tickLblPos val="nextTo"/>
        <c:crossAx val="173487560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t-BR"/>
              <a:t>Estrelas RU (Semana 26)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1 Estrela</c:v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D8D3-4F29-A9BB-9F952C851F00}"/>
              </c:ext>
            </c:extLst>
          </c:dPt>
          <c:dPt>
            <c:idx val="1"/>
            <c:invertIfNegative val="0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D8D3-4F29-A9BB-9F952C851F00}"/>
              </c:ext>
            </c:extLst>
          </c:dPt>
          <c:dPt>
            <c:idx val="2"/>
            <c:invertIfNegative val="0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D8D3-4F29-A9BB-9F952C851F00}"/>
              </c:ext>
            </c:extLst>
          </c:dPt>
          <c:dPt>
            <c:idx val="3"/>
            <c:invertIfNegative val="0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D8D3-4F29-A9BB-9F952C851F00}"/>
              </c:ext>
            </c:extLst>
          </c:dPt>
          <c:dPt>
            <c:idx val="4"/>
            <c:invertIfNegative val="0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D8D3-4F29-A9BB-9F952C851F0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ln w="3175">
                      <a:noFill/>
                    </a:ln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'SEMANA 26'!$B$25</c:f>
              <c:numCache>
                <c:formatCode>General</c:formatCode>
                <c:ptCount val="1"/>
                <c:pt idx="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8D3-4F29-A9BB-9F952C851F00}"/>
            </c:ext>
          </c:extLst>
        </c:ser>
        <c:ser>
          <c:idx val="1"/>
          <c:order val="1"/>
          <c:tx>
            <c:v>2 Estrelas</c:v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'SEMANA 26'!$C$25</c:f>
              <c:numCache>
                <c:formatCode>General</c:formatCode>
                <c:ptCount val="1"/>
                <c:pt idx="0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D8D3-4F29-A9BB-9F952C851F00}"/>
            </c:ext>
          </c:extLst>
        </c:ser>
        <c:ser>
          <c:idx val="2"/>
          <c:order val="2"/>
          <c:tx>
            <c:v>3 Estrelas</c:v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'SEMANA 26'!$D$25</c:f>
              <c:numCache>
                <c:formatCode>General</c:formatCode>
                <c:ptCount val="1"/>
                <c:pt idx="0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D8D3-4F29-A9BB-9F952C851F00}"/>
            </c:ext>
          </c:extLst>
        </c:ser>
        <c:ser>
          <c:idx val="3"/>
          <c:order val="3"/>
          <c:tx>
            <c:v>4 Estrelas</c:v>
          </c:tx>
          <c:spPr>
            <a:gradFill rotWithShape="1">
              <a:gsLst>
                <a:gs pos="0">
                  <a:schemeClr val="accent6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'SEMANA 26'!$E$25</c:f>
              <c:numCache>
                <c:formatCode>General</c:formatCode>
                <c:ptCount val="1"/>
                <c:pt idx="0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D8D3-4F29-A9BB-9F952C851F00}"/>
            </c:ext>
          </c:extLst>
        </c:ser>
        <c:ser>
          <c:idx val="4"/>
          <c:order val="4"/>
          <c:tx>
            <c:v>5 Estrelas</c:v>
          </c:tx>
          <c:spPr>
            <a:gradFill rotWithShape="1">
              <a:gsLst>
                <a:gs pos="0">
                  <a:schemeClr val="accent5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'SEMANA 26'!$F$25</c:f>
              <c:numCache>
                <c:formatCode>General</c:formatCode>
                <c:ptCount val="1"/>
                <c:pt idx="0">
                  <c:v>122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D8D3-4F29-A9BB-9F952C851F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734872720"/>
        <c:axId val="1734875600"/>
      </c:barChart>
      <c:valAx>
        <c:axId val="17348756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34872720"/>
        <c:crosses val="autoZero"/>
        <c:crossBetween val="between"/>
      </c:valAx>
      <c:catAx>
        <c:axId val="1734872720"/>
        <c:scaling>
          <c:orientation val="minMax"/>
        </c:scaling>
        <c:delete val="1"/>
        <c:axPos val="l"/>
        <c:majorTickMark val="out"/>
        <c:minorTickMark val="none"/>
        <c:tickLblPos val="nextTo"/>
        <c:crossAx val="173487560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t-BR"/>
              <a:t>Estrelas RU (Semana 27)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1 Estrela</c:v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5570-45F0-A1AA-0953EFAC58DC}"/>
              </c:ext>
            </c:extLst>
          </c:dPt>
          <c:dPt>
            <c:idx val="1"/>
            <c:invertIfNegative val="0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5570-45F0-A1AA-0953EFAC58DC}"/>
              </c:ext>
            </c:extLst>
          </c:dPt>
          <c:dPt>
            <c:idx val="2"/>
            <c:invertIfNegative val="0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5570-45F0-A1AA-0953EFAC58DC}"/>
              </c:ext>
            </c:extLst>
          </c:dPt>
          <c:dPt>
            <c:idx val="3"/>
            <c:invertIfNegative val="0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5570-45F0-A1AA-0953EFAC58DC}"/>
              </c:ext>
            </c:extLst>
          </c:dPt>
          <c:dPt>
            <c:idx val="4"/>
            <c:invertIfNegative val="0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5570-45F0-A1AA-0953EFAC58D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ln w="3175">
                      <a:noFill/>
                    </a:ln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'SEMANA 27'!$B$25</c:f>
              <c:numCache>
                <c:formatCode>General</c:formatCode>
                <c:ptCount val="1"/>
                <c:pt idx="0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5570-45F0-A1AA-0953EFAC58DC}"/>
            </c:ext>
          </c:extLst>
        </c:ser>
        <c:ser>
          <c:idx val="1"/>
          <c:order val="1"/>
          <c:tx>
            <c:v>2 Estrelas</c:v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'SEMANA 27'!$C$25</c:f>
              <c:numCache>
                <c:formatCode>General</c:formatCode>
                <c:ptCount val="1"/>
                <c:pt idx="0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5570-45F0-A1AA-0953EFAC58DC}"/>
            </c:ext>
          </c:extLst>
        </c:ser>
        <c:ser>
          <c:idx val="2"/>
          <c:order val="2"/>
          <c:tx>
            <c:v>3 Estrelas</c:v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'SEMANA 27'!$D$25</c:f>
              <c:numCache>
                <c:formatCode>General</c:formatCode>
                <c:ptCount val="1"/>
                <c:pt idx="0">
                  <c:v>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5570-45F0-A1AA-0953EFAC58DC}"/>
            </c:ext>
          </c:extLst>
        </c:ser>
        <c:ser>
          <c:idx val="3"/>
          <c:order val="3"/>
          <c:tx>
            <c:v>4 Estrelas</c:v>
          </c:tx>
          <c:spPr>
            <a:gradFill rotWithShape="1">
              <a:gsLst>
                <a:gs pos="0">
                  <a:schemeClr val="accent6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'SEMANA 27'!$E$25</c:f>
              <c:numCache>
                <c:formatCode>General</c:formatCode>
                <c:ptCount val="1"/>
                <c:pt idx="0">
                  <c:v>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5570-45F0-A1AA-0953EFAC58DC}"/>
            </c:ext>
          </c:extLst>
        </c:ser>
        <c:ser>
          <c:idx val="4"/>
          <c:order val="4"/>
          <c:tx>
            <c:v>5 Estrelas</c:v>
          </c:tx>
          <c:spPr>
            <a:gradFill rotWithShape="1">
              <a:gsLst>
                <a:gs pos="0">
                  <a:schemeClr val="accent5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'SEMANA 27'!$F$25</c:f>
              <c:numCache>
                <c:formatCode>General</c:formatCode>
                <c:ptCount val="1"/>
                <c:pt idx="0">
                  <c:v>122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5570-45F0-A1AA-0953EFAC58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734872720"/>
        <c:axId val="1734875600"/>
      </c:barChart>
      <c:valAx>
        <c:axId val="17348756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34872720"/>
        <c:crosses val="autoZero"/>
        <c:crossBetween val="between"/>
      </c:valAx>
      <c:catAx>
        <c:axId val="1734872720"/>
        <c:scaling>
          <c:orientation val="minMax"/>
        </c:scaling>
        <c:delete val="1"/>
        <c:axPos val="l"/>
        <c:majorTickMark val="out"/>
        <c:minorTickMark val="none"/>
        <c:tickLblPos val="nextTo"/>
        <c:crossAx val="173487560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  <c:userShapes r:id="rId3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t-BR"/>
              <a:t>Estrelas RU (Semana 28)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1 Estrela</c:v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D86E-46B8-B620-E8180B10C8F8}"/>
              </c:ext>
            </c:extLst>
          </c:dPt>
          <c:dPt>
            <c:idx val="1"/>
            <c:invertIfNegative val="0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D86E-46B8-B620-E8180B10C8F8}"/>
              </c:ext>
            </c:extLst>
          </c:dPt>
          <c:dPt>
            <c:idx val="2"/>
            <c:invertIfNegative val="0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D86E-46B8-B620-E8180B10C8F8}"/>
              </c:ext>
            </c:extLst>
          </c:dPt>
          <c:dPt>
            <c:idx val="3"/>
            <c:invertIfNegative val="0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D86E-46B8-B620-E8180B10C8F8}"/>
              </c:ext>
            </c:extLst>
          </c:dPt>
          <c:dPt>
            <c:idx val="4"/>
            <c:invertIfNegative val="0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D86E-46B8-B620-E8180B10C8F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ln w="3175">
                      <a:noFill/>
                    </a:ln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'SEMANA 28'!$B$25</c:f>
              <c:numCache>
                <c:formatCode>General</c:formatCode>
                <c:ptCount val="1"/>
                <c:pt idx="0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86E-46B8-B620-E8180B10C8F8}"/>
            </c:ext>
          </c:extLst>
        </c:ser>
        <c:ser>
          <c:idx val="1"/>
          <c:order val="1"/>
          <c:tx>
            <c:v>2 Estrelas</c:v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'SEMANA 28'!$C$25</c:f>
              <c:numCache>
                <c:formatCode>General</c:formatCode>
                <c:ptCount val="1"/>
                <c:pt idx="0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D86E-46B8-B620-E8180B10C8F8}"/>
            </c:ext>
          </c:extLst>
        </c:ser>
        <c:ser>
          <c:idx val="2"/>
          <c:order val="2"/>
          <c:tx>
            <c:v>3 Estrelas</c:v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'SEMANA 28'!$D$25</c:f>
              <c:numCache>
                <c:formatCode>General</c:formatCode>
                <c:ptCount val="1"/>
                <c:pt idx="0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D86E-46B8-B620-E8180B10C8F8}"/>
            </c:ext>
          </c:extLst>
        </c:ser>
        <c:ser>
          <c:idx val="3"/>
          <c:order val="3"/>
          <c:tx>
            <c:v>4 Estrelas</c:v>
          </c:tx>
          <c:spPr>
            <a:gradFill rotWithShape="1">
              <a:gsLst>
                <a:gs pos="0">
                  <a:schemeClr val="accent6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'SEMANA 28'!$E$25</c:f>
              <c:numCache>
                <c:formatCode>General</c:formatCode>
                <c:ptCount val="1"/>
                <c:pt idx="0">
                  <c:v>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D86E-46B8-B620-E8180B10C8F8}"/>
            </c:ext>
          </c:extLst>
        </c:ser>
        <c:ser>
          <c:idx val="4"/>
          <c:order val="4"/>
          <c:tx>
            <c:v>5 Estrelas</c:v>
          </c:tx>
          <c:spPr>
            <a:gradFill rotWithShape="1">
              <a:gsLst>
                <a:gs pos="0">
                  <a:schemeClr val="accent5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glow rad="63500">
                <a:srgbClr val="FFFF00">
                  <a:alpha val="40000"/>
                </a:srgb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'SEMANA 28'!$F$25</c:f>
              <c:numCache>
                <c:formatCode>General</c:formatCode>
                <c:ptCount val="1"/>
                <c:pt idx="0">
                  <c:v>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D86E-46B8-B620-E8180B10C8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734872720"/>
        <c:axId val="1734875600"/>
      </c:barChart>
      <c:valAx>
        <c:axId val="17348756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34872720"/>
        <c:crosses val="autoZero"/>
        <c:crossBetween val="between"/>
      </c:valAx>
      <c:catAx>
        <c:axId val="1734872720"/>
        <c:scaling>
          <c:orientation val="minMax"/>
        </c:scaling>
        <c:delete val="1"/>
        <c:axPos val="l"/>
        <c:majorTickMark val="out"/>
        <c:minorTickMark val="none"/>
        <c:tickLblPos val="nextTo"/>
        <c:crossAx val="173487560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  <c:userShapes r:id="rId3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t-BR"/>
              <a:t>Estrelas RU (Semana 29)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1 Estrela</c:v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7288-44D1-B437-C316053FE204}"/>
              </c:ext>
            </c:extLst>
          </c:dPt>
          <c:dPt>
            <c:idx val="1"/>
            <c:invertIfNegative val="0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7288-44D1-B437-C316053FE204}"/>
              </c:ext>
            </c:extLst>
          </c:dPt>
          <c:dPt>
            <c:idx val="2"/>
            <c:invertIfNegative val="0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7288-44D1-B437-C316053FE204}"/>
              </c:ext>
            </c:extLst>
          </c:dPt>
          <c:dPt>
            <c:idx val="3"/>
            <c:invertIfNegative val="0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7288-44D1-B437-C316053FE204}"/>
              </c:ext>
            </c:extLst>
          </c:dPt>
          <c:dPt>
            <c:idx val="4"/>
            <c:invertIfNegative val="0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7288-44D1-B437-C316053FE20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ln w="3175">
                      <a:noFill/>
                    </a:ln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'SEMANA 29'!$B$25</c:f>
              <c:numCache>
                <c:formatCode>General</c:formatCode>
                <c:ptCount val="1"/>
                <c:pt idx="0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288-44D1-B437-C316053FE204}"/>
            </c:ext>
          </c:extLst>
        </c:ser>
        <c:ser>
          <c:idx val="1"/>
          <c:order val="1"/>
          <c:tx>
            <c:v>2 Estrelas</c:v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'SEMANA 29'!$C$25</c:f>
              <c:numCache>
                <c:formatCode>General</c:formatCode>
                <c:ptCount val="1"/>
                <c:pt idx="0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7288-44D1-B437-C316053FE204}"/>
            </c:ext>
          </c:extLst>
        </c:ser>
        <c:ser>
          <c:idx val="2"/>
          <c:order val="2"/>
          <c:tx>
            <c:v>3 Estrelas</c:v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'SEMANA 29'!$D$25</c:f>
              <c:numCache>
                <c:formatCode>General</c:formatCode>
                <c:ptCount val="1"/>
                <c:pt idx="0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7288-44D1-B437-C316053FE204}"/>
            </c:ext>
          </c:extLst>
        </c:ser>
        <c:ser>
          <c:idx val="3"/>
          <c:order val="3"/>
          <c:tx>
            <c:v>4 Estrelas</c:v>
          </c:tx>
          <c:spPr>
            <a:gradFill rotWithShape="1">
              <a:gsLst>
                <a:gs pos="0">
                  <a:schemeClr val="accent6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'SEMANA 29'!$E$25</c:f>
              <c:numCache>
                <c:formatCode>General</c:formatCode>
                <c:ptCount val="1"/>
                <c:pt idx="0">
                  <c:v>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7288-44D1-B437-C316053FE204}"/>
            </c:ext>
          </c:extLst>
        </c:ser>
        <c:ser>
          <c:idx val="4"/>
          <c:order val="4"/>
          <c:tx>
            <c:v>5 Estrelas</c:v>
          </c:tx>
          <c:spPr>
            <a:gradFill rotWithShape="1">
              <a:gsLst>
                <a:gs pos="0">
                  <a:schemeClr val="accent5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glow rad="63500">
                <a:srgbClr val="FFFF00">
                  <a:alpha val="40000"/>
                </a:srgb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'SEMANA 29'!$F$25</c:f>
              <c:numCache>
                <c:formatCode>General</c:formatCode>
                <c:ptCount val="1"/>
                <c:pt idx="0">
                  <c:v>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7288-44D1-B437-C316053FE2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734872720"/>
        <c:axId val="1734875600"/>
      </c:barChart>
      <c:valAx>
        <c:axId val="17348756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34872720"/>
        <c:crosses val="autoZero"/>
        <c:crossBetween val="between"/>
      </c:valAx>
      <c:catAx>
        <c:axId val="1734872720"/>
        <c:scaling>
          <c:orientation val="minMax"/>
        </c:scaling>
        <c:delete val="1"/>
        <c:axPos val="l"/>
        <c:majorTickMark val="out"/>
        <c:minorTickMark val="none"/>
        <c:tickLblPos val="nextTo"/>
        <c:crossAx val="173487560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  <c:userShapes r:id="rId3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t-BR"/>
              <a:t>Estrelas RU (Semana 31)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1 Estrela</c:v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66FD-41F7-8E96-95F60FDCAB70}"/>
              </c:ext>
            </c:extLst>
          </c:dPt>
          <c:dPt>
            <c:idx val="1"/>
            <c:invertIfNegative val="0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66FD-41F7-8E96-95F60FDCAB70}"/>
              </c:ext>
            </c:extLst>
          </c:dPt>
          <c:dPt>
            <c:idx val="2"/>
            <c:invertIfNegative val="0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66FD-41F7-8E96-95F60FDCAB70}"/>
              </c:ext>
            </c:extLst>
          </c:dPt>
          <c:dPt>
            <c:idx val="3"/>
            <c:invertIfNegative val="0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66FD-41F7-8E96-95F60FDCAB70}"/>
              </c:ext>
            </c:extLst>
          </c:dPt>
          <c:dPt>
            <c:idx val="4"/>
            <c:invertIfNegative val="0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66FD-41F7-8E96-95F60FDCAB7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ln w="3175">
                      <a:noFill/>
                    </a:ln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'SEMANA 31'!$B$25</c:f>
              <c:numCache>
                <c:formatCode>General</c:formatCode>
                <c:ptCount val="1"/>
                <c:pt idx="0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66FD-41F7-8E96-95F60FDCAB70}"/>
            </c:ext>
          </c:extLst>
        </c:ser>
        <c:ser>
          <c:idx val="1"/>
          <c:order val="1"/>
          <c:tx>
            <c:v>2 Estrelas</c:v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'SEMANA 31'!$C$25</c:f>
              <c:numCache>
                <c:formatCode>General</c:formatCode>
                <c:ptCount val="1"/>
                <c:pt idx="0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66FD-41F7-8E96-95F60FDCAB70}"/>
            </c:ext>
          </c:extLst>
        </c:ser>
        <c:ser>
          <c:idx val="2"/>
          <c:order val="2"/>
          <c:tx>
            <c:v>3 Estrelas</c:v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'SEMANA 31'!$D$25</c:f>
              <c:numCache>
                <c:formatCode>General</c:formatCode>
                <c:ptCount val="1"/>
                <c:pt idx="0">
                  <c:v>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66FD-41F7-8E96-95F60FDCAB70}"/>
            </c:ext>
          </c:extLst>
        </c:ser>
        <c:ser>
          <c:idx val="3"/>
          <c:order val="3"/>
          <c:tx>
            <c:v>4 Estrelas</c:v>
          </c:tx>
          <c:spPr>
            <a:gradFill rotWithShape="1">
              <a:gsLst>
                <a:gs pos="0">
                  <a:schemeClr val="accent6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'SEMANA 31'!$E$25</c:f>
              <c:numCache>
                <c:formatCode>General</c:formatCode>
                <c:ptCount val="1"/>
                <c:pt idx="0">
                  <c:v>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66FD-41F7-8E96-95F60FDCAB70}"/>
            </c:ext>
          </c:extLst>
        </c:ser>
        <c:ser>
          <c:idx val="4"/>
          <c:order val="4"/>
          <c:tx>
            <c:v>5 Estrelas</c:v>
          </c:tx>
          <c:spPr>
            <a:gradFill rotWithShape="1">
              <a:gsLst>
                <a:gs pos="0">
                  <a:schemeClr val="accent5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glow rad="63500">
                <a:srgbClr val="FFFF00">
                  <a:alpha val="40000"/>
                </a:srgb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'SEMANA 31'!$F$25</c:f>
              <c:numCache>
                <c:formatCode>General</c:formatCode>
                <c:ptCount val="1"/>
                <c:pt idx="0">
                  <c:v>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66FD-41F7-8E96-95F60FDCAB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734872720"/>
        <c:axId val="1734875600"/>
      </c:barChart>
      <c:valAx>
        <c:axId val="17348756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34872720"/>
        <c:crosses val="autoZero"/>
        <c:crossBetween val="between"/>
      </c:valAx>
      <c:catAx>
        <c:axId val="1734872720"/>
        <c:scaling>
          <c:orientation val="minMax"/>
        </c:scaling>
        <c:delete val="1"/>
        <c:axPos val="l"/>
        <c:majorTickMark val="out"/>
        <c:minorTickMark val="none"/>
        <c:tickLblPos val="nextTo"/>
        <c:crossAx val="173487560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  <c:userShapes r:id="rId3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t-BR"/>
              <a:t>Estrelas RU (Semana 32)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1 Estrela</c:v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53A5-4DA3-9C78-63627A106DAC}"/>
              </c:ext>
            </c:extLst>
          </c:dPt>
          <c:dPt>
            <c:idx val="1"/>
            <c:invertIfNegative val="0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53A5-4DA3-9C78-63627A106DAC}"/>
              </c:ext>
            </c:extLst>
          </c:dPt>
          <c:dPt>
            <c:idx val="2"/>
            <c:invertIfNegative val="0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53A5-4DA3-9C78-63627A106DAC}"/>
              </c:ext>
            </c:extLst>
          </c:dPt>
          <c:dPt>
            <c:idx val="3"/>
            <c:invertIfNegative val="0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53A5-4DA3-9C78-63627A106DAC}"/>
              </c:ext>
            </c:extLst>
          </c:dPt>
          <c:dPt>
            <c:idx val="4"/>
            <c:invertIfNegative val="0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53A5-4DA3-9C78-63627A106DA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ln w="3175">
                      <a:noFill/>
                    </a:ln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'SEMANA 32'!$B$25</c:f>
              <c:numCache>
                <c:formatCode>General</c:formatCode>
                <c:ptCount val="1"/>
                <c:pt idx="0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53A5-4DA3-9C78-63627A106DAC}"/>
            </c:ext>
          </c:extLst>
        </c:ser>
        <c:ser>
          <c:idx val="1"/>
          <c:order val="1"/>
          <c:tx>
            <c:v>2 Estrelas</c:v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'SEMANA 32'!$C$25</c:f>
              <c:numCache>
                <c:formatCode>General</c:formatCode>
                <c:ptCount val="1"/>
                <c:pt idx="0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53A5-4DA3-9C78-63627A106DAC}"/>
            </c:ext>
          </c:extLst>
        </c:ser>
        <c:ser>
          <c:idx val="2"/>
          <c:order val="2"/>
          <c:tx>
            <c:v>3 Estrelas</c:v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'SEMANA 32'!$D$25</c:f>
              <c:numCache>
                <c:formatCode>General</c:formatCode>
                <c:ptCount val="1"/>
                <c:pt idx="0">
                  <c:v>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53A5-4DA3-9C78-63627A106DAC}"/>
            </c:ext>
          </c:extLst>
        </c:ser>
        <c:ser>
          <c:idx val="3"/>
          <c:order val="3"/>
          <c:tx>
            <c:v>4 Estrelas</c:v>
          </c:tx>
          <c:spPr>
            <a:gradFill rotWithShape="1">
              <a:gsLst>
                <a:gs pos="0">
                  <a:schemeClr val="accent6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'SEMANA 32'!$E$25</c:f>
              <c:numCache>
                <c:formatCode>General</c:formatCode>
                <c:ptCount val="1"/>
                <c:pt idx="0">
                  <c:v>188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53A5-4DA3-9C78-63627A106DAC}"/>
            </c:ext>
          </c:extLst>
        </c:ser>
        <c:ser>
          <c:idx val="4"/>
          <c:order val="4"/>
          <c:tx>
            <c:v>5 Estrelas</c:v>
          </c:tx>
          <c:spPr>
            <a:gradFill rotWithShape="1">
              <a:gsLst>
                <a:gs pos="0">
                  <a:schemeClr val="accent5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glow rad="63500">
                <a:srgbClr val="FFFF00">
                  <a:alpha val="40000"/>
                </a:srgb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'SEMANA 32'!$F$25</c:f>
              <c:numCache>
                <c:formatCode>General</c:formatCode>
                <c:ptCount val="1"/>
                <c:pt idx="0">
                  <c:v>209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53A5-4DA3-9C78-63627A106D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734872720"/>
        <c:axId val="1734875600"/>
      </c:barChart>
      <c:valAx>
        <c:axId val="17348756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34872720"/>
        <c:crosses val="autoZero"/>
        <c:crossBetween val="between"/>
      </c:valAx>
      <c:catAx>
        <c:axId val="1734872720"/>
        <c:scaling>
          <c:orientation val="minMax"/>
        </c:scaling>
        <c:delete val="1"/>
        <c:axPos val="l"/>
        <c:majorTickMark val="out"/>
        <c:minorTickMark val="none"/>
        <c:tickLblPos val="nextTo"/>
        <c:crossAx val="173487560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  <c:userShapes r:id="rId3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t-BR"/>
              <a:t>Estrelas RU (Semana 33)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1 Estrela</c:v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2394-4385-BB04-6DEBE1EADC89}"/>
              </c:ext>
            </c:extLst>
          </c:dPt>
          <c:dPt>
            <c:idx val="1"/>
            <c:invertIfNegative val="0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2394-4385-BB04-6DEBE1EADC89}"/>
              </c:ext>
            </c:extLst>
          </c:dPt>
          <c:dPt>
            <c:idx val="2"/>
            <c:invertIfNegative val="0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2394-4385-BB04-6DEBE1EADC89}"/>
              </c:ext>
            </c:extLst>
          </c:dPt>
          <c:dPt>
            <c:idx val="3"/>
            <c:invertIfNegative val="0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2394-4385-BB04-6DEBE1EADC89}"/>
              </c:ext>
            </c:extLst>
          </c:dPt>
          <c:dPt>
            <c:idx val="4"/>
            <c:invertIfNegative val="0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2394-4385-BB04-6DEBE1EADC8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ln w="3175">
                      <a:noFill/>
                    </a:ln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'SEMANA 33'!$B$25</c:f>
              <c:numCache>
                <c:formatCode>General</c:formatCode>
                <c:ptCount val="1"/>
                <c:pt idx="0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2394-4385-BB04-6DEBE1EADC89}"/>
            </c:ext>
          </c:extLst>
        </c:ser>
        <c:ser>
          <c:idx val="1"/>
          <c:order val="1"/>
          <c:tx>
            <c:v>2 Estrelas</c:v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'SEMANA 33'!$C$25</c:f>
              <c:numCache>
                <c:formatCode>General</c:formatCode>
                <c:ptCount val="1"/>
                <c:pt idx="0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2394-4385-BB04-6DEBE1EADC89}"/>
            </c:ext>
          </c:extLst>
        </c:ser>
        <c:ser>
          <c:idx val="2"/>
          <c:order val="2"/>
          <c:tx>
            <c:v>3 Estrelas</c:v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'SEMANA 33'!$D$25</c:f>
              <c:numCache>
                <c:formatCode>General</c:formatCode>
                <c:ptCount val="1"/>
                <c:pt idx="0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2394-4385-BB04-6DEBE1EADC89}"/>
            </c:ext>
          </c:extLst>
        </c:ser>
        <c:ser>
          <c:idx val="3"/>
          <c:order val="3"/>
          <c:tx>
            <c:v>4 Estrelas</c:v>
          </c:tx>
          <c:spPr>
            <a:gradFill rotWithShape="1">
              <a:gsLst>
                <a:gs pos="0">
                  <a:schemeClr val="accent6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'SEMANA 33'!$E$25</c:f>
              <c:numCache>
                <c:formatCode>General</c:formatCode>
                <c:ptCount val="1"/>
                <c:pt idx="0">
                  <c:v>109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2394-4385-BB04-6DEBE1EADC89}"/>
            </c:ext>
          </c:extLst>
        </c:ser>
        <c:ser>
          <c:idx val="4"/>
          <c:order val="4"/>
          <c:tx>
            <c:v>5 Estrelas</c:v>
          </c:tx>
          <c:spPr>
            <a:gradFill rotWithShape="1">
              <a:gsLst>
                <a:gs pos="0">
                  <a:schemeClr val="accent5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glow rad="63500">
                <a:srgbClr val="FFFF00">
                  <a:alpha val="40000"/>
                </a:srgb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'SEMANA 33'!$F$25</c:f>
              <c:numCache>
                <c:formatCode>General</c:formatCode>
                <c:ptCount val="1"/>
                <c:pt idx="0">
                  <c:v>183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2394-4385-BB04-6DEBE1EADC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734872720"/>
        <c:axId val="1734875600"/>
      </c:barChart>
      <c:valAx>
        <c:axId val="17348756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34872720"/>
        <c:crosses val="autoZero"/>
        <c:crossBetween val="between"/>
      </c:valAx>
      <c:catAx>
        <c:axId val="1734872720"/>
        <c:scaling>
          <c:orientation val="minMax"/>
        </c:scaling>
        <c:delete val="1"/>
        <c:axPos val="l"/>
        <c:majorTickMark val="out"/>
        <c:minorTickMark val="none"/>
        <c:tickLblPos val="nextTo"/>
        <c:crossAx val="173487560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  <c:userShapes r:id="rId3"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t-BR"/>
              <a:t>Estrelas RU (Semana 34)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1 Estrela</c:v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19E3-4CC3-AA02-0602B35A5666}"/>
              </c:ext>
            </c:extLst>
          </c:dPt>
          <c:dPt>
            <c:idx val="1"/>
            <c:invertIfNegative val="0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19E3-4CC3-AA02-0602B35A5666}"/>
              </c:ext>
            </c:extLst>
          </c:dPt>
          <c:dPt>
            <c:idx val="2"/>
            <c:invertIfNegative val="0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19E3-4CC3-AA02-0602B35A5666}"/>
              </c:ext>
            </c:extLst>
          </c:dPt>
          <c:dPt>
            <c:idx val="3"/>
            <c:invertIfNegative val="0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19E3-4CC3-AA02-0602B35A5666}"/>
              </c:ext>
            </c:extLst>
          </c:dPt>
          <c:dPt>
            <c:idx val="4"/>
            <c:invertIfNegative val="0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19E3-4CC3-AA02-0602B35A566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ln w="3175">
                      <a:noFill/>
                    </a:ln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'SEMANA 34'!$B$25</c:f>
              <c:numCache>
                <c:formatCode>General</c:formatCode>
                <c:ptCount val="1"/>
                <c:pt idx="0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19E3-4CC3-AA02-0602B35A5666}"/>
            </c:ext>
          </c:extLst>
        </c:ser>
        <c:ser>
          <c:idx val="1"/>
          <c:order val="1"/>
          <c:tx>
            <c:v>2 Estrelas</c:v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'SEMANA 34'!$C$25</c:f>
              <c:numCache>
                <c:formatCode>General</c:formatCode>
                <c:ptCount val="1"/>
                <c:pt idx="0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19E3-4CC3-AA02-0602B35A5666}"/>
            </c:ext>
          </c:extLst>
        </c:ser>
        <c:ser>
          <c:idx val="2"/>
          <c:order val="2"/>
          <c:tx>
            <c:v>3 Estrelas</c:v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'SEMANA 34'!$D$25</c:f>
              <c:numCache>
                <c:formatCode>General</c:formatCode>
                <c:ptCount val="1"/>
                <c:pt idx="0">
                  <c:v>117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19E3-4CC3-AA02-0602B35A5666}"/>
            </c:ext>
          </c:extLst>
        </c:ser>
        <c:ser>
          <c:idx val="3"/>
          <c:order val="3"/>
          <c:tx>
            <c:v>4 Estrelas</c:v>
          </c:tx>
          <c:spPr>
            <a:gradFill rotWithShape="1">
              <a:gsLst>
                <a:gs pos="0">
                  <a:schemeClr val="accent6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'SEMANA 34'!$E$25</c:f>
              <c:numCache>
                <c:formatCode>General</c:formatCode>
                <c:ptCount val="1"/>
                <c:pt idx="0">
                  <c:v>191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19E3-4CC3-AA02-0602B35A5666}"/>
            </c:ext>
          </c:extLst>
        </c:ser>
        <c:ser>
          <c:idx val="4"/>
          <c:order val="4"/>
          <c:tx>
            <c:v>5 Estrelas</c:v>
          </c:tx>
          <c:spPr>
            <a:gradFill rotWithShape="1">
              <a:gsLst>
                <a:gs pos="0">
                  <a:schemeClr val="accent5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glow rad="63500">
                <a:srgbClr val="FFFF00">
                  <a:alpha val="40000"/>
                </a:srgb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'SEMANA 34'!$F$25</c:f>
              <c:numCache>
                <c:formatCode>General</c:formatCode>
                <c:ptCount val="1"/>
                <c:pt idx="0">
                  <c:v>345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19E3-4CC3-AA02-0602B35A56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734872720"/>
        <c:axId val="1734875600"/>
      </c:barChart>
      <c:valAx>
        <c:axId val="17348756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34872720"/>
        <c:crosses val="autoZero"/>
        <c:crossBetween val="between"/>
      </c:valAx>
      <c:catAx>
        <c:axId val="1734872720"/>
        <c:scaling>
          <c:orientation val="minMax"/>
        </c:scaling>
        <c:delete val="1"/>
        <c:axPos val="l"/>
        <c:majorTickMark val="out"/>
        <c:minorTickMark val="none"/>
        <c:tickLblPos val="nextTo"/>
        <c:crossAx val="173487560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  <c:userShapes r:id="rId3"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t-BR"/>
              <a:t>Estrelas RU (Semana 35)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1 Estrela</c:v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748B-494A-BADB-B77256B1BFA6}"/>
              </c:ext>
            </c:extLst>
          </c:dPt>
          <c:dPt>
            <c:idx val="1"/>
            <c:invertIfNegative val="0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748B-494A-BADB-B77256B1BFA6}"/>
              </c:ext>
            </c:extLst>
          </c:dPt>
          <c:dPt>
            <c:idx val="2"/>
            <c:invertIfNegative val="0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748B-494A-BADB-B77256B1BFA6}"/>
              </c:ext>
            </c:extLst>
          </c:dPt>
          <c:dPt>
            <c:idx val="3"/>
            <c:invertIfNegative val="0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748B-494A-BADB-B77256B1BFA6}"/>
              </c:ext>
            </c:extLst>
          </c:dPt>
          <c:dPt>
            <c:idx val="4"/>
            <c:invertIfNegative val="0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748B-494A-BADB-B77256B1BFA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ln w="3175">
                      <a:noFill/>
                    </a:ln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'SEMANA 35'!$B$25</c:f>
              <c:numCache>
                <c:formatCode>General</c:formatCode>
                <c:ptCount val="1"/>
                <c:pt idx="0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48B-494A-BADB-B77256B1BFA6}"/>
            </c:ext>
          </c:extLst>
        </c:ser>
        <c:ser>
          <c:idx val="1"/>
          <c:order val="1"/>
          <c:tx>
            <c:v>2 Estrelas</c:v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'SEMANA 35'!$C$25</c:f>
              <c:numCache>
                <c:formatCode>General</c:formatCode>
                <c:ptCount val="1"/>
                <c:pt idx="0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748B-494A-BADB-B77256B1BFA6}"/>
            </c:ext>
          </c:extLst>
        </c:ser>
        <c:ser>
          <c:idx val="2"/>
          <c:order val="2"/>
          <c:tx>
            <c:v>3 Estrelas</c:v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'SEMANA 35'!$D$25</c:f>
              <c:numCache>
                <c:formatCode>General</c:formatCode>
                <c:ptCount val="1"/>
                <c:pt idx="0">
                  <c:v>133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748B-494A-BADB-B77256B1BFA6}"/>
            </c:ext>
          </c:extLst>
        </c:ser>
        <c:ser>
          <c:idx val="3"/>
          <c:order val="3"/>
          <c:tx>
            <c:v>4 Estrelas</c:v>
          </c:tx>
          <c:spPr>
            <a:gradFill rotWithShape="1">
              <a:gsLst>
                <a:gs pos="0">
                  <a:schemeClr val="accent6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'SEMANA 35'!$E$25</c:f>
              <c:numCache>
                <c:formatCode>General</c:formatCode>
                <c:ptCount val="1"/>
                <c:pt idx="0">
                  <c:v>249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748B-494A-BADB-B77256B1BFA6}"/>
            </c:ext>
          </c:extLst>
        </c:ser>
        <c:ser>
          <c:idx val="4"/>
          <c:order val="4"/>
          <c:tx>
            <c:v>5 Estrelas</c:v>
          </c:tx>
          <c:spPr>
            <a:gradFill rotWithShape="1">
              <a:gsLst>
                <a:gs pos="0">
                  <a:schemeClr val="accent5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glow rad="63500">
                <a:srgbClr val="FFFF00">
                  <a:alpha val="40000"/>
                </a:srgb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'SEMANA 35'!$F$25</c:f>
              <c:numCache>
                <c:formatCode>General</c:formatCode>
                <c:ptCount val="1"/>
                <c:pt idx="0">
                  <c:v>302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748B-494A-BADB-B77256B1BF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734872720"/>
        <c:axId val="1734875600"/>
      </c:barChart>
      <c:valAx>
        <c:axId val="17348756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34872720"/>
        <c:crosses val="autoZero"/>
        <c:crossBetween val="between"/>
      </c:valAx>
      <c:catAx>
        <c:axId val="1734872720"/>
        <c:scaling>
          <c:orientation val="minMax"/>
        </c:scaling>
        <c:delete val="1"/>
        <c:axPos val="l"/>
        <c:majorTickMark val="out"/>
        <c:minorTickMark val="none"/>
        <c:tickLblPos val="nextTo"/>
        <c:crossAx val="173487560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  <c:userShapes r:id="rId3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t-BR"/>
              <a:t>Estrelas RU (Semana 36)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1 Estrela</c:v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5858-4070-A7AF-FD8C3B00904E}"/>
              </c:ext>
            </c:extLst>
          </c:dPt>
          <c:dPt>
            <c:idx val="1"/>
            <c:invertIfNegative val="0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5858-4070-A7AF-FD8C3B00904E}"/>
              </c:ext>
            </c:extLst>
          </c:dPt>
          <c:dPt>
            <c:idx val="2"/>
            <c:invertIfNegative val="0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5858-4070-A7AF-FD8C3B00904E}"/>
              </c:ext>
            </c:extLst>
          </c:dPt>
          <c:dPt>
            <c:idx val="3"/>
            <c:invertIfNegative val="0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5858-4070-A7AF-FD8C3B00904E}"/>
              </c:ext>
            </c:extLst>
          </c:dPt>
          <c:dPt>
            <c:idx val="4"/>
            <c:invertIfNegative val="0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5858-4070-A7AF-FD8C3B00904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ln w="3175">
                      <a:noFill/>
                    </a:ln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'SEMANA 36'!$B$25</c:f>
              <c:numCache>
                <c:formatCode>General</c:formatCode>
                <c:ptCount val="1"/>
                <c:pt idx="0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5858-4070-A7AF-FD8C3B00904E}"/>
            </c:ext>
          </c:extLst>
        </c:ser>
        <c:ser>
          <c:idx val="1"/>
          <c:order val="1"/>
          <c:tx>
            <c:v>2 Estrelas</c:v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'SEMANA 36'!$C$25</c:f>
              <c:numCache>
                <c:formatCode>General</c:formatCode>
                <c:ptCount val="1"/>
                <c:pt idx="0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5858-4070-A7AF-FD8C3B00904E}"/>
            </c:ext>
          </c:extLst>
        </c:ser>
        <c:ser>
          <c:idx val="2"/>
          <c:order val="2"/>
          <c:tx>
            <c:v>3 Estrelas</c:v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'SEMANA 36'!$D$25</c:f>
              <c:numCache>
                <c:formatCode>General</c:formatCode>
                <c:ptCount val="1"/>
                <c:pt idx="0">
                  <c:v>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5858-4070-A7AF-FD8C3B00904E}"/>
            </c:ext>
          </c:extLst>
        </c:ser>
        <c:ser>
          <c:idx val="3"/>
          <c:order val="3"/>
          <c:tx>
            <c:v>4 Estrelas</c:v>
          </c:tx>
          <c:spPr>
            <a:gradFill rotWithShape="1">
              <a:gsLst>
                <a:gs pos="0">
                  <a:schemeClr val="accent6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'SEMANA 36'!$E$25</c:f>
              <c:numCache>
                <c:formatCode>General</c:formatCode>
                <c:ptCount val="1"/>
                <c:pt idx="0">
                  <c:v>247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5858-4070-A7AF-FD8C3B00904E}"/>
            </c:ext>
          </c:extLst>
        </c:ser>
        <c:ser>
          <c:idx val="4"/>
          <c:order val="4"/>
          <c:tx>
            <c:v>5 Estrelas</c:v>
          </c:tx>
          <c:spPr>
            <a:gradFill rotWithShape="1">
              <a:gsLst>
                <a:gs pos="0">
                  <a:schemeClr val="accent5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glow rad="63500">
                <a:srgbClr val="FFFF00">
                  <a:alpha val="40000"/>
                </a:srgb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'SEMANA 36'!$F$25</c:f>
              <c:numCache>
                <c:formatCode>General</c:formatCode>
                <c:ptCount val="1"/>
                <c:pt idx="0">
                  <c:v>337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5858-4070-A7AF-FD8C3B0090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734872720"/>
        <c:axId val="1734875600"/>
      </c:barChart>
      <c:valAx>
        <c:axId val="17348756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34872720"/>
        <c:crosses val="autoZero"/>
        <c:crossBetween val="between"/>
      </c:valAx>
      <c:catAx>
        <c:axId val="1734872720"/>
        <c:scaling>
          <c:orientation val="minMax"/>
        </c:scaling>
        <c:delete val="1"/>
        <c:axPos val="l"/>
        <c:majorTickMark val="out"/>
        <c:minorTickMark val="none"/>
        <c:tickLblPos val="nextTo"/>
        <c:crossAx val="173487560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  <c:userShapes r:id="rId3"/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t-BR"/>
              <a:t>Estrelas RU (Semana 37)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1 Estrela</c:v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06F1-4E9C-B033-9BE4F7D6D08D}"/>
              </c:ext>
            </c:extLst>
          </c:dPt>
          <c:dPt>
            <c:idx val="1"/>
            <c:invertIfNegative val="0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06F1-4E9C-B033-9BE4F7D6D08D}"/>
              </c:ext>
            </c:extLst>
          </c:dPt>
          <c:dPt>
            <c:idx val="2"/>
            <c:invertIfNegative val="0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06F1-4E9C-B033-9BE4F7D6D08D}"/>
              </c:ext>
            </c:extLst>
          </c:dPt>
          <c:dPt>
            <c:idx val="3"/>
            <c:invertIfNegative val="0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06F1-4E9C-B033-9BE4F7D6D08D}"/>
              </c:ext>
            </c:extLst>
          </c:dPt>
          <c:dPt>
            <c:idx val="4"/>
            <c:invertIfNegative val="0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06F1-4E9C-B033-9BE4F7D6D08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ln w="3175">
                      <a:noFill/>
                    </a:ln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'SEMANA 37'!$B$25</c:f>
              <c:numCache>
                <c:formatCode>General</c:formatCode>
                <c:ptCount val="1"/>
                <c:pt idx="0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06F1-4E9C-B033-9BE4F7D6D08D}"/>
            </c:ext>
          </c:extLst>
        </c:ser>
        <c:ser>
          <c:idx val="1"/>
          <c:order val="1"/>
          <c:tx>
            <c:v>2 Estrelas</c:v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'SEMANA 37'!$C$25</c:f>
              <c:numCache>
                <c:formatCode>General</c:formatCode>
                <c:ptCount val="1"/>
                <c:pt idx="0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06F1-4E9C-B033-9BE4F7D6D08D}"/>
            </c:ext>
          </c:extLst>
        </c:ser>
        <c:ser>
          <c:idx val="2"/>
          <c:order val="2"/>
          <c:tx>
            <c:v>3 Estrelas</c:v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'SEMANA 37'!$D$25</c:f>
              <c:numCache>
                <c:formatCode>General</c:formatCode>
                <c:ptCount val="1"/>
                <c:pt idx="0">
                  <c:v>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06F1-4E9C-B033-9BE4F7D6D08D}"/>
            </c:ext>
          </c:extLst>
        </c:ser>
        <c:ser>
          <c:idx val="3"/>
          <c:order val="3"/>
          <c:tx>
            <c:v>4 Estrelas</c:v>
          </c:tx>
          <c:spPr>
            <a:gradFill rotWithShape="1">
              <a:gsLst>
                <a:gs pos="0">
                  <a:schemeClr val="accent6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'SEMANA 37'!$E$25</c:f>
              <c:numCache>
                <c:formatCode>General</c:formatCode>
                <c:ptCount val="1"/>
                <c:pt idx="0">
                  <c:v>233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06F1-4E9C-B033-9BE4F7D6D08D}"/>
            </c:ext>
          </c:extLst>
        </c:ser>
        <c:ser>
          <c:idx val="4"/>
          <c:order val="4"/>
          <c:tx>
            <c:v>5 Estrelas</c:v>
          </c:tx>
          <c:spPr>
            <a:gradFill rotWithShape="1">
              <a:gsLst>
                <a:gs pos="0">
                  <a:schemeClr val="accent5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glow rad="63500">
                <a:srgbClr val="FFFF00">
                  <a:alpha val="40000"/>
                </a:srgb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'SEMANA 37'!$F$25</c:f>
              <c:numCache>
                <c:formatCode>General</c:formatCode>
                <c:ptCount val="1"/>
                <c:pt idx="0">
                  <c:v>318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06F1-4E9C-B033-9BE4F7D6D0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734872720"/>
        <c:axId val="1734875600"/>
      </c:barChart>
      <c:valAx>
        <c:axId val="17348756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34872720"/>
        <c:crosses val="autoZero"/>
        <c:crossBetween val="between"/>
      </c:valAx>
      <c:catAx>
        <c:axId val="1734872720"/>
        <c:scaling>
          <c:orientation val="minMax"/>
        </c:scaling>
        <c:delete val="1"/>
        <c:axPos val="l"/>
        <c:majorTickMark val="out"/>
        <c:minorTickMark val="none"/>
        <c:tickLblPos val="nextTo"/>
        <c:crossAx val="173487560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  <c:userShapes r:id="rId3"/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t-BR"/>
              <a:t>Estrelas RU (Semana 38)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1 Estrela</c:v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BA6F-4203-9A10-B7B83CA4D398}"/>
              </c:ext>
            </c:extLst>
          </c:dPt>
          <c:dPt>
            <c:idx val="1"/>
            <c:invertIfNegative val="0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BA6F-4203-9A10-B7B83CA4D398}"/>
              </c:ext>
            </c:extLst>
          </c:dPt>
          <c:dPt>
            <c:idx val="2"/>
            <c:invertIfNegative val="0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BA6F-4203-9A10-B7B83CA4D398}"/>
              </c:ext>
            </c:extLst>
          </c:dPt>
          <c:dPt>
            <c:idx val="3"/>
            <c:invertIfNegative val="0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BA6F-4203-9A10-B7B83CA4D398}"/>
              </c:ext>
            </c:extLst>
          </c:dPt>
          <c:dPt>
            <c:idx val="4"/>
            <c:invertIfNegative val="0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BA6F-4203-9A10-B7B83CA4D39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ln w="3175">
                      <a:noFill/>
                    </a:ln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'SEMANA 38'!$B$25</c:f>
              <c:numCache>
                <c:formatCode>General</c:formatCode>
                <c:ptCount val="1"/>
                <c:pt idx="0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BA6F-4203-9A10-B7B83CA4D398}"/>
            </c:ext>
          </c:extLst>
        </c:ser>
        <c:ser>
          <c:idx val="1"/>
          <c:order val="1"/>
          <c:tx>
            <c:v>2 Estrelas</c:v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'SEMANA 38'!$C$25</c:f>
              <c:numCache>
                <c:formatCode>General</c:formatCode>
                <c:ptCount val="1"/>
                <c:pt idx="0">
                  <c:v>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BA6F-4203-9A10-B7B83CA4D398}"/>
            </c:ext>
          </c:extLst>
        </c:ser>
        <c:ser>
          <c:idx val="2"/>
          <c:order val="2"/>
          <c:tx>
            <c:v>3 Estrelas</c:v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'SEMANA 38'!$D$25</c:f>
              <c:numCache>
                <c:formatCode>General</c:formatCode>
                <c:ptCount val="1"/>
                <c:pt idx="0">
                  <c:v>121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BA6F-4203-9A10-B7B83CA4D398}"/>
            </c:ext>
          </c:extLst>
        </c:ser>
        <c:ser>
          <c:idx val="3"/>
          <c:order val="3"/>
          <c:tx>
            <c:v>4 Estrelas</c:v>
          </c:tx>
          <c:spPr>
            <a:gradFill rotWithShape="1">
              <a:gsLst>
                <a:gs pos="0">
                  <a:schemeClr val="accent6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'SEMANA 38'!$E$25</c:f>
              <c:numCache>
                <c:formatCode>General</c:formatCode>
                <c:ptCount val="1"/>
                <c:pt idx="0">
                  <c:v>203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BA6F-4203-9A10-B7B83CA4D398}"/>
            </c:ext>
          </c:extLst>
        </c:ser>
        <c:ser>
          <c:idx val="4"/>
          <c:order val="4"/>
          <c:tx>
            <c:v>5 Estrelas</c:v>
          </c:tx>
          <c:spPr>
            <a:gradFill rotWithShape="1">
              <a:gsLst>
                <a:gs pos="0">
                  <a:schemeClr val="accent5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glow rad="63500">
                <a:srgbClr val="FFFF00">
                  <a:alpha val="40000"/>
                </a:srgb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'SEMANA 38'!$F$25</c:f>
              <c:numCache>
                <c:formatCode>General</c:formatCode>
                <c:ptCount val="1"/>
                <c:pt idx="0">
                  <c:v>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BA6F-4203-9A10-B7B83CA4D3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734872720"/>
        <c:axId val="1734875600"/>
      </c:barChart>
      <c:valAx>
        <c:axId val="17348756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34872720"/>
        <c:crosses val="autoZero"/>
        <c:crossBetween val="between"/>
      </c:valAx>
      <c:catAx>
        <c:axId val="1734872720"/>
        <c:scaling>
          <c:orientation val="minMax"/>
        </c:scaling>
        <c:delete val="1"/>
        <c:axPos val="l"/>
        <c:majorTickMark val="out"/>
        <c:minorTickMark val="none"/>
        <c:tickLblPos val="nextTo"/>
        <c:crossAx val="173487560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  <c:userShapes r:id="rId3"/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t-BR"/>
              <a:t>Estrelas RU (Semana 39)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1 Estrela</c:v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2837-4E35-A6F8-33A8CB1221B8}"/>
              </c:ext>
            </c:extLst>
          </c:dPt>
          <c:dPt>
            <c:idx val="1"/>
            <c:invertIfNegative val="0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2837-4E35-A6F8-33A8CB1221B8}"/>
              </c:ext>
            </c:extLst>
          </c:dPt>
          <c:dPt>
            <c:idx val="2"/>
            <c:invertIfNegative val="0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2837-4E35-A6F8-33A8CB1221B8}"/>
              </c:ext>
            </c:extLst>
          </c:dPt>
          <c:dPt>
            <c:idx val="3"/>
            <c:invertIfNegative val="0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2837-4E35-A6F8-33A8CB1221B8}"/>
              </c:ext>
            </c:extLst>
          </c:dPt>
          <c:dPt>
            <c:idx val="4"/>
            <c:invertIfNegative val="0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2837-4E35-A6F8-33A8CB1221B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ln w="3175">
                      <a:noFill/>
                    </a:ln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'SEMANA 39'!$B$25</c:f>
              <c:numCache>
                <c:formatCode>General</c:formatCode>
                <c:ptCount val="1"/>
                <c:pt idx="0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2837-4E35-A6F8-33A8CB1221B8}"/>
            </c:ext>
          </c:extLst>
        </c:ser>
        <c:ser>
          <c:idx val="1"/>
          <c:order val="1"/>
          <c:tx>
            <c:v>2 Estrelas</c:v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'SEMANA 39'!$C$25</c:f>
              <c:numCache>
                <c:formatCode>General</c:formatCode>
                <c:ptCount val="1"/>
                <c:pt idx="0">
                  <c:v>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2837-4E35-A6F8-33A8CB1221B8}"/>
            </c:ext>
          </c:extLst>
        </c:ser>
        <c:ser>
          <c:idx val="2"/>
          <c:order val="2"/>
          <c:tx>
            <c:v>3 Estrelas</c:v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'SEMANA 39'!$D$25</c:f>
              <c:numCache>
                <c:formatCode>General</c:formatCode>
                <c:ptCount val="1"/>
                <c:pt idx="0">
                  <c:v>119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2837-4E35-A6F8-33A8CB1221B8}"/>
            </c:ext>
          </c:extLst>
        </c:ser>
        <c:ser>
          <c:idx val="3"/>
          <c:order val="3"/>
          <c:tx>
            <c:v>4 Estrelas</c:v>
          </c:tx>
          <c:spPr>
            <a:gradFill rotWithShape="1">
              <a:gsLst>
                <a:gs pos="0">
                  <a:schemeClr val="accent6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'SEMANA 39'!$E$25</c:f>
              <c:numCache>
                <c:formatCode>General</c:formatCode>
                <c:ptCount val="1"/>
                <c:pt idx="0">
                  <c:v>201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2837-4E35-A6F8-33A8CB1221B8}"/>
            </c:ext>
          </c:extLst>
        </c:ser>
        <c:ser>
          <c:idx val="4"/>
          <c:order val="4"/>
          <c:tx>
            <c:v>5 Estrelas</c:v>
          </c:tx>
          <c:spPr>
            <a:gradFill rotWithShape="1">
              <a:gsLst>
                <a:gs pos="0">
                  <a:schemeClr val="accent5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glow rad="63500">
                <a:srgbClr val="FFFF00">
                  <a:alpha val="40000"/>
                </a:srgb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'SEMANA 39'!$F$25</c:f>
              <c:numCache>
                <c:formatCode>General</c:formatCode>
                <c:ptCount val="1"/>
                <c:pt idx="0">
                  <c:v>168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2837-4E35-A6F8-33A8CB1221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734872720"/>
        <c:axId val="1734875600"/>
      </c:barChart>
      <c:valAx>
        <c:axId val="17348756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34872720"/>
        <c:crosses val="autoZero"/>
        <c:crossBetween val="between"/>
      </c:valAx>
      <c:catAx>
        <c:axId val="1734872720"/>
        <c:scaling>
          <c:orientation val="minMax"/>
        </c:scaling>
        <c:delete val="1"/>
        <c:axPos val="l"/>
        <c:majorTickMark val="out"/>
        <c:minorTickMark val="none"/>
        <c:tickLblPos val="nextTo"/>
        <c:crossAx val="173487560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  <c:userShapes r:id="rId3"/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t-BR"/>
              <a:t>Estrelas RU (Semana 40)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1 Estrela</c:v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A033-4773-92B1-83184BC3BA29}"/>
              </c:ext>
            </c:extLst>
          </c:dPt>
          <c:dPt>
            <c:idx val="1"/>
            <c:invertIfNegative val="0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A033-4773-92B1-83184BC3BA29}"/>
              </c:ext>
            </c:extLst>
          </c:dPt>
          <c:dPt>
            <c:idx val="2"/>
            <c:invertIfNegative val="0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A033-4773-92B1-83184BC3BA29}"/>
              </c:ext>
            </c:extLst>
          </c:dPt>
          <c:dPt>
            <c:idx val="3"/>
            <c:invertIfNegative val="0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A033-4773-92B1-83184BC3BA29}"/>
              </c:ext>
            </c:extLst>
          </c:dPt>
          <c:dPt>
            <c:idx val="4"/>
            <c:invertIfNegative val="0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A033-4773-92B1-83184BC3BA2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ln w="3175">
                      <a:noFill/>
                    </a:ln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'SEMANA 40'!$B$25</c:f>
              <c:numCache>
                <c:formatCode>General</c:formatCode>
                <c:ptCount val="1"/>
                <c:pt idx="0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A033-4773-92B1-83184BC3BA29}"/>
            </c:ext>
          </c:extLst>
        </c:ser>
        <c:ser>
          <c:idx val="1"/>
          <c:order val="1"/>
          <c:tx>
            <c:v>2 Estrelas</c:v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'SEMANA 40'!$C$25</c:f>
              <c:numCache>
                <c:formatCode>General</c:formatCode>
                <c:ptCount val="1"/>
                <c:pt idx="0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A033-4773-92B1-83184BC3BA29}"/>
            </c:ext>
          </c:extLst>
        </c:ser>
        <c:ser>
          <c:idx val="2"/>
          <c:order val="2"/>
          <c:tx>
            <c:v>3 Estrelas</c:v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'SEMANA 40'!$D$25</c:f>
              <c:numCache>
                <c:formatCode>General</c:formatCode>
                <c:ptCount val="1"/>
                <c:pt idx="0">
                  <c:v>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A033-4773-92B1-83184BC3BA29}"/>
            </c:ext>
          </c:extLst>
        </c:ser>
        <c:ser>
          <c:idx val="3"/>
          <c:order val="3"/>
          <c:tx>
            <c:v>4 Estrelas</c:v>
          </c:tx>
          <c:spPr>
            <a:gradFill rotWithShape="1">
              <a:gsLst>
                <a:gs pos="0">
                  <a:schemeClr val="accent6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'SEMANA 40'!$E$25</c:f>
              <c:numCache>
                <c:formatCode>General</c:formatCode>
                <c:ptCount val="1"/>
                <c:pt idx="0">
                  <c:v>167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A033-4773-92B1-83184BC3BA29}"/>
            </c:ext>
          </c:extLst>
        </c:ser>
        <c:ser>
          <c:idx val="4"/>
          <c:order val="4"/>
          <c:tx>
            <c:v>5 Estrelas</c:v>
          </c:tx>
          <c:spPr>
            <a:gradFill rotWithShape="1">
              <a:gsLst>
                <a:gs pos="0">
                  <a:schemeClr val="accent5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glow rad="63500">
                <a:srgbClr val="FFFF00">
                  <a:alpha val="40000"/>
                </a:srgb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'SEMANA 40'!$F$25</c:f>
              <c:numCache>
                <c:formatCode>General</c:formatCode>
                <c:ptCount val="1"/>
                <c:pt idx="0">
                  <c:v>295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A033-4773-92B1-83184BC3BA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734872720"/>
        <c:axId val="1734875600"/>
      </c:barChart>
      <c:valAx>
        <c:axId val="17348756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34872720"/>
        <c:crosses val="autoZero"/>
        <c:crossBetween val="between"/>
      </c:valAx>
      <c:catAx>
        <c:axId val="1734872720"/>
        <c:scaling>
          <c:orientation val="minMax"/>
        </c:scaling>
        <c:delete val="1"/>
        <c:axPos val="l"/>
        <c:majorTickMark val="out"/>
        <c:minorTickMark val="none"/>
        <c:tickLblPos val="nextTo"/>
        <c:crossAx val="173487560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  <c:userShapes r:id="rId3"/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t-BR"/>
              <a:t>Estrelas RU (Semana 41)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1 Estrela</c:v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647D-4AE1-AAB0-4C99F06C540D}"/>
              </c:ext>
            </c:extLst>
          </c:dPt>
          <c:dPt>
            <c:idx val="1"/>
            <c:invertIfNegative val="0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647D-4AE1-AAB0-4C99F06C540D}"/>
              </c:ext>
            </c:extLst>
          </c:dPt>
          <c:dPt>
            <c:idx val="2"/>
            <c:invertIfNegative val="0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647D-4AE1-AAB0-4C99F06C540D}"/>
              </c:ext>
            </c:extLst>
          </c:dPt>
          <c:dPt>
            <c:idx val="3"/>
            <c:invertIfNegative val="0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647D-4AE1-AAB0-4C99F06C540D}"/>
              </c:ext>
            </c:extLst>
          </c:dPt>
          <c:dPt>
            <c:idx val="4"/>
            <c:invertIfNegative val="0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647D-4AE1-AAB0-4C99F06C540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ln w="3175">
                      <a:noFill/>
                    </a:ln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'SEMANA 41'!$B$25</c:f>
              <c:numCache>
                <c:formatCode>General</c:formatCode>
                <c:ptCount val="1"/>
                <c:pt idx="0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647D-4AE1-AAB0-4C99F06C540D}"/>
            </c:ext>
          </c:extLst>
        </c:ser>
        <c:ser>
          <c:idx val="1"/>
          <c:order val="1"/>
          <c:tx>
            <c:v>2 Estrelas</c:v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'SEMANA 41'!$C$25</c:f>
              <c:numCache>
                <c:formatCode>General</c:formatCode>
                <c:ptCount val="1"/>
                <c:pt idx="0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647D-4AE1-AAB0-4C99F06C540D}"/>
            </c:ext>
          </c:extLst>
        </c:ser>
        <c:ser>
          <c:idx val="2"/>
          <c:order val="2"/>
          <c:tx>
            <c:v>3 Estrelas</c:v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'SEMANA 41'!$D$25</c:f>
              <c:numCache>
                <c:formatCode>General</c:formatCode>
                <c:ptCount val="1"/>
                <c:pt idx="0">
                  <c:v>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647D-4AE1-AAB0-4C99F06C540D}"/>
            </c:ext>
          </c:extLst>
        </c:ser>
        <c:ser>
          <c:idx val="3"/>
          <c:order val="3"/>
          <c:tx>
            <c:v>4 Estrelas</c:v>
          </c:tx>
          <c:spPr>
            <a:gradFill rotWithShape="1">
              <a:gsLst>
                <a:gs pos="0">
                  <a:schemeClr val="accent6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'SEMANA 41'!$E$25</c:f>
              <c:numCache>
                <c:formatCode>General</c:formatCode>
                <c:ptCount val="1"/>
                <c:pt idx="0">
                  <c:v>154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647D-4AE1-AAB0-4C99F06C540D}"/>
            </c:ext>
          </c:extLst>
        </c:ser>
        <c:ser>
          <c:idx val="4"/>
          <c:order val="4"/>
          <c:tx>
            <c:v>5 Estrelas</c:v>
          </c:tx>
          <c:spPr>
            <a:gradFill rotWithShape="1">
              <a:gsLst>
                <a:gs pos="0">
                  <a:schemeClr val="accent5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glow rad="63500">
                <a:srgbClr val="FFFF00">
                  <a:alpha val="40000"/>
                </a:srgb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'SEMANA 41'!$F$25</c:f>
              <c:numCache>
                <c:formatCode>General</c:formatCode>
                <c:ptCount val="1"/>
                <c:pt idx="0">
                  <c:v>197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647D-4AE1-AAB0-4C99F06C54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734872720"/>
        <c:axId val="1734875600"/>
      </c:barChart>
      <c:valAx>
        <c:axId val="17348756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34872720"/>
        <c:crosses val="autoZero"/>
        <c:crossBetween val="between"/>
      </c:valAx>
      <c:catAx>
        <c:axId val="1734872720"/>
        <c:scaling>
          <c:orientation val="minMax"/>
        </c:scaling>
        <c:delete val="1"/>
        <c:axPos val="l"/>
        <c:majorTickMark val="out"/>
        <c:minorTickMark val="none"/>
        <c:tickLblPos val="nextTo"/>
        <c:crossAx val="173487560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  <c:userShapes r:id="rId3"/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t-BR"/>
              <a:t>Estrelas RU (Semana 42)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1 Estrela</c:v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E22-4620-8AC9-5BDD2C1B80FE}"/>
              </c:ext>
            </c:extLst>
          </c:dPt>
          <c:dPt>
            <c:idx val="1"/>
            <c:invertIfNegative val="0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E22-4620-8AC9-5BDD2C1B80FE}"/>
              </c:ext>
            </c:extLst>
          </c:dPt>
          <c:dPt>
            <c:idx val="2"/>
            <c:invertIfNegative val="0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E22-4620-8AC9-5BDD2C1B80FE}"/>
              </c:ext>
            </c:extLst>
          </c:dPt>
          <c:dPt>
            <c:idx val="3"/>
            <c:invertIfNegative val="0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E22-4620-8AC9-5BDD2C1B80FE}"/>
              </c:ext>
            </c:extLst>
          </c:dPt>
          <c:dPt>
            <c:idx val="4"/>
            <c:invertIfNegative val="0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9E22-4620-8AC9-5BDD2C1B80F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ln w="3175">
                      <a:noFill/>
                    </a:ln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'SEMANA 42'!$B$25</c:f>
              <c:numCache>
                <c:formatCode>General</c:formatCode>
                <c:ptCount val="1"/>
                <c:pt idx="0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E22-4620-8AC9-5BDD2C1B80FE}"/>
            </c:ext>
          </c:extLst>
        </c:ser>
        <c:ser>
          <c:idx val="1"/>
          <c:order val="1"/>
          <c:tx>
            <c:v>2 Estrelas</c:v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'SEMANA 42'!$C$25</c:f>
              <c:numCache>
                <c:formatCode>General</c:formatCode>
                <c:ptCount val="1"/>
                <c:pt idx="0">
                  <c:v>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9E22-4620-8AC9-5BDD2C1B80FE}"/>
            </c:ext>
          </c:extLst>
        </c:ser>
        <c:ser>
          <c:idx val="2"/>
          <c:order val="2"/>
          <c:tx>
            <c:v>3 Estrelas</c:v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'SEMANA 42'!$D$25</c:f>
              <c:numCache>
                <c:formatCode>General</c:formatCode>
                <c:ptCount val="1"/>
                <c:pt idx="0">
                  <c:v>107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9E22-4620-8AC9-5BDD2C1B80FE}"/>
            </c:ext>
          </c:extLst>
        </c:ser>
        <c:ser>
          <c:idx val="3"/>
          <c:order val="3"/>
          <c:tx>
            <c:v>4 Estrelas</c:v>
          </c:tx>
          <c:spPr>
            <a:gradFill rotWithShape="1">
              <a:gsLst>
                <a:gs pos="0">
                  <a:schemeClr val="accent6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'SEMANA 42'!$E$25</c:f>
              <c:numCache>
                <c:formatCode>General</c:formatCode>
                <c:ptCount val="1"/>
                <c:pt idx="0">
                  <c:v>177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9E22-4620-8AC9-5BDD2C1B80FE}"/>
            </c:ext>
          </c:extLst>
        </c:ser>
        <c:ser>
          <c:idx val="4"/>
          <c:order val="4"/>
          <c:tx>
            <c:v>5 Estrelas</c:v>
          </c:tx>
          <c:spPr>
            <a:gradFill rotWithShape="1">
              <a:gsLst>
                <a:gs pos="0">
                  <a:schemeClr val="accent5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glow rad="63500">
                <a:srgbClr val="FFFF00">
                  <a:alpha val="40000"/>
                </a:srgb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'SEMANA 42'!$F$25</c:f>
              <c:numCache>
                <c:formatCode>General</c:formatCode>
                <c:ptCount val="1"/>
                <c:pt idx="0">
                  <c:v>189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9E22-4620-8AC9-5BDD2C1B80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734872720"/>
        <c:axId val="1734875600"/>
      </c:barChart>
      <c:valAx>
        <c:axId val="17348756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34872720"/>
        <c:crosses val="autoZero"/>
        <c:crossBetween val="between"/>
      </c:valAx>
      <c:catAx>
        <c:axId val="1734872720"/>
        <c:scaling>
          <c:orientation val="minMax"/>
        </c:scaling>
        <c:delete val="1"/>
        <c:axPos val="l"/>
        <c:majorTickMark val="out"/>
        <c:minorTickMark val="none"/>
        <c:tickLblPos val="nextTo"/>
        <c:crossAx val="173487560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  <c:userShapes r:id="rId3"/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t-BR"/>
              <a:t>Estrelas RU (Semana 43)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1 Estrela</c:v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6FDC-4FBA-B150-F4BC963143C8}"/>
              </c:ext>
            </c:extLst>
          </c:dPt>
          <c:dPt>
            <c:idx val="1"/>
            <c:invertIfNegative val="0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6FDC-4FBA-B150-F4BC963143C8}"/>
              </c:ext>
            </c:extLst>
          </c:dPt>
          <c:dPt>
            <c:idx val="2"/>
            <c:invertIfNegative val="0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6FDC-4FBA-B150-F4BC963143C8}"/>
              </c:ext>
            </c:extLst>
          </c:dPt>
          <c:dPt>
            <c:idx val="3"/>
            <c:invertIfNegative val="0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6FDC-4FBA-B150-F4BC963143C8}"/>
              </c:ext>
            </c:extLst>
          </c:dPt>
          <c:dPt>
            <c:idx val="4"/>
            <c:invertIfNegative val="0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6FDC-4FBA-B150-F4BC963143C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ln w="3175">
                      <a:noFill/>
                    </a:ln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'SEMANA 43'!$B$25</c:f>
              <c:numCache>
                <c:formatCode>General</c:formatCode>
                <c:ptCount val="1"/>
                <c:pt idx="0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6FDC-4FBA-B150-F4BC963143C8}"/>
            </c:ext>
          </c:extLst>
        </c:ser>
        <c:ser>
          <c:idx val="1"/>
          <c:order val="1"/>
          <c:tx>
            <c:v>2 Estrelas</c:v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'SEMANA 43'!$C$25</c:f>
              <c:numCache>
                <c:formatCode>General</c:formatCode>
                <c:ptCount val="1"/>
                <c:pt idx="0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6FDC-4FBA-B150-F4BC963143C8}"/>
            </c:ext>
          </c:extLst>
        </c:ser>
        <c:ser>
          <c:idx val="2"/>
          <c:order val="2"/>
          <c:tx>
            <c:v>3 Estrelas</c:v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'SEMANA 43'!$D$25</c:f>
              <c:numCache>
                <c:formatCode>General</c:formatCode>
                <c:ptCount val="1"/>
                <c:pt idx="0">
                  <c:v>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6FDC-4FBA-B150-F4BC963143C8}"/>
            </c:ext>
          </c:extLst>
        </c:ser>
        <c:ser>
          <c:idx val="3"/>
          <c:order val="3"/>
          <c:tx>
            <c:v>4 Estrelas</c:v>
          </c:tx>
          <c:spPr>
            <a:gradFill rotWithShape="1">
              <a:gsLst>
                <a:gs pos="0">
                  <a:schemeClr val="accent6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'SEMANA 43'!$E$25</c:f>
              <c:numCache>
                <c:formatCode>General</c:formatCode>
                <c:ptCount val="1"/>
                <c:pt idx="0">
                  <c:v>178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6FDC-4FBA-B150-F4BC963143C8}"/>
            </c:ext>
          </c:extLst>
        </c:ser>
        <c:ser>
          <c:idx val="4"/>
          <c:order val="4"/>
          <c:tx>
            <c:v>5 Estrelas</c:v>
          </c:tx>
          <c:spPr>
            <a:gradFill rotWithShape="1">
              <a:gsLst>
                <a:gs pos="0">
                  <a:schemeClr val="accent5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glow rad="63500">
                <a:srgbClr val="FFFF00">
                  <a:alpha val="40000"/>
                </a:srgb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'SEMANA 43'!$F$25</c:f>
              <c:numCache>
                <c:formatCode>General</c:formatCode>
                <c:ptCount val="1"/>
                <c:pt idx="0">
                  <c:v>186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6FDC-4FBA-B150-F4BC963143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734872720"/>
        <c:axId val="1734875600"/>
      </c:barChart>
      <c:valAx>
        <c:axId val="17348756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34872720"/>
        <c:crosses val="autoZero"/>
        <c:crossBetween val="between"/>
      </c:valAx>
      <c:catAx>
        <c:axId val="1734872720"/>
        <c:scaling>
          <c:orientation val="minMax"/>
        </c:scaling>
        <c:delete val="1"/>
        <c:axPos val="l"/>
        <c:majorTickMark val="out"/>
        <c:minorTickMark val="none"/>
        <c:tickLblPos val="nextTo"/>
        <c:crossAx val="173487560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  <c:userShapes r:id="rId3"/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t-BR"/>
              <a:t>Estrelas RU (Semana 44)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1 Estrela</c:v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FAE-4514-BB3A-6A0CAAB0A708}"/>
              </c:ext>
            </c:extLst>
          </c:dPt>
          <c:dPt>
            <c:idx val="1"/>
            <c:invertIfNegative val="0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FAE-4514-BB3A-6A0CAAB0A708}"/>
              </c:ext>
            </c:extLst>
          </c:dPt>
          <c:dPt>
            <c:idx val="2"/>
            <c:invertIfNegative val="0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FAE-4514-BB3A-6A0CAAB0A708}"/>
              </c:ext>
            </c:extLst>
          </c:dPt>
          <c:dPt>
            <c:idx val="3"/>
            <c:invertIfNegative val="0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FAE-4514-BB3A-6A0CAAB0A708}"/>
              </c:ext>
            </c:extLst>
          </c:dPt>
          <c:dPt>
            <c:idx val="4"/>
            <c:invertIfNegative val="0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9FAE-4514-BB3A-6A0CAAB0A70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ln w="3175">
                      <a:noFill/>
                    </a:ln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'SEMANA 44'!$B$25</c:f>
              <c:numCache>
                <c:formatCode>General</c:formatCode>
                <c:ptCount val="1"/>
                <c:pt idx="0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FAE-4514-BB3A-6A0CAAB0A708}"/>
            </c:ext>
          </c:extLst>
        </c:ser>
        <c:ser>
          <c:idx val="1"/>
          <c:order val="1"/>
          <c:tx>
            <c:v>2 Estrelas</c:v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'SEMANA 44'!$C$25</c:f>
              <c:numCache>
                <c:formatCode>General</c:formatCode>
                <c:ptCount val="1"/>
                <c:pt idx="0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9FAE-4514-BB3A-6A0CAAB0A708}"/>
            </c:ext>
          </c:extLst>
        </c:ser>
        <c:ser>
          <c:idx val="2"/>
          <c:order val="2"/>
          <c:tx>
            <c:v>3 Estrelas</c:v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'SEMANA 44'!$D$25</c:f>
              <c:numCache>
                <c:formatCode>General</c:formatCode>
                <c:ptCount val="1"/>
                <c:pt idx="0">
                  <c:v>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9FAE-4514-BB3A-6A0CAAB0A708}"/>
            </c:ext>
          </c:extLst>
        </c:ser>
        <c:ser>
          <c:idx val="3"/>
          <c:order val="3"/>
          <c:tx>
            <c:v>4 Estrelas</c:v>
          </c:tx>
          <c:spPr>
            <a:gradFill rotWithShape="1">
              <a:gsLst>
                <a:gs pos="0">
                  <a:schemeClr val="accent6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'SEMANA 44'!$E$25</c:f>
              <c:numCache>
                <c:formatCode>General</c:formatCode>
                <c:ptCount val="1"/>
                <c:pt idx="0">
                  <c:v>129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9FAE-4514-BB3A-6A0CAAB0A708}"/>
            </c:ext>
          </c:extLst>
        </c:ser>
        <c:ser>
          <c:idx val="4"/>
          <c:order val="4"/>
          <c:tx>
            <c:v>5 Estrelas</c:v>
          </c:tx>
          <c:spPr>
            <a:gradFill rotWithShape="1">
              <a:gsLst>
                <a:gs pos="0">
                  <a:schemeClr val="accent5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glow rad="63500">
                <a:srgbClr val="FFFF00">
                  <a:alpha val="40000"/>
                </a:srgb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'SEMANA 44'!$F$25</c:f>
              <c:numCache>
                <c:formatCode>General</c:formatCode>
                <c:ptCount val="1"/>
                <c:pt idx="0">
                  <c:v>170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9FAE-4514-BB3A-6A0CAAB0A7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734872720"/>
        <c:axId val="1734875600"/>
      </c:barChart>
      <c:valAx>
        <c:axId val="17348756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34872720"/>
        <c:crosses val="autoZero"/>
        <c:crossBetween val="between"/>
      </c:valAx>
      <c:catAx>
        <c:axId val="1734872720"/>
        <c:scaling>
          <c:orientation val="minMax"/>
        </c:scaling>
        <c:delete val="1"/>
        <c:axPos val="l"/>
        <c:majorTickMark val="out"/>
        <c:minorTickMark val="none"/>
        <c:tickLblPos val="nextTo"/>
        <c:crossAx val="173487560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  <c:userShapes r:id="rId3"/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t-BR"/>
              <a:t>Estrelas RU (Semana 45)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1 Estrela</c:v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B1BD-49FA-9153-4A6526C71E65}"/>
              </c:ext>
            </c:extLst>
          </c:dPt>
          <c:dPt>
            <c:idx val="1"/>
            <c:invertIfNegative val="0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B1BD-49FA-9153-4A6526C71E65}"/>
              </c:ext>
            </c:extLst>
          </c:dPt>
          <c:dPt>
            <c:idx val="2"/>
            <c:invertIfNegative val="0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B1BD-49FA-9153-4A6526C71E65}"/>
              </c:ext>
            </c:extLst>
          </c:dPt>
          <c:dPt>
            <c:idx val="3"/>
            <c:invertIfNegative val="0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B1BD-49FA-9153-4A6526C71E65}"/>
              </c:ext>
            </c:extLst>
          </c:dPt>
          <c:dPt>
            <c:idx val="4"/>
            <c:invertIfNegative val="0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B1BD-49FA-9153-4A6526C71E6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ln w="3175">
                      <a:noFill/>
                    </a:ln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'SEMANA 45'!$B$25</c:f>
              <c:numCache>
                <c:formatCode>General</c:formatCode>
                <c:ptCount val="1"/>
                <c:pt idx="0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B1BD-49FA-9153-4A6526C71E65}"/>
            </c:ext>
          </c:extLst>
        </c:ser>
        <c:ser>
          <c:idx val="1"/>
          <c:order val="1"/>
          <c:tx>
            <c:v>2 Estrelas</c:v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'SEMANA 45'!$C$25</c:f>
              <c:numCache>
                <c:formatCode>General</c:formatCode>
                <c:ptCount val="1"/>
                <c:pt idx="0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B1BD-49FA-9153-4A6526C71E65}"/>
            </c:ext>
          </c:extLst>
        </c:ser>
        <c:ser>
          <c:idx val="2"/>
          <c:order val="2"/>
          <c:tx>
            <c:v>3 Estrelas</c:v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'SEMANA 45'!$D$25</c:f>
              <c:numCache>
                <c:formatCode>General</c:formatCode>
                <c:ptCount val="1"/>
                <c:pt idx="0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B1BD-49FA-9153-4A6526C71E65}"/>
            </c:ext>
          </c:extLst>
        </c:ser>
        <c:ser>
          <c:idx val="3"/>
          <c:order val="3"/>
          <c:tx>
            <c:v>4 Estrelas</c:v>
          </c:tx>
          <c:spPr>
            <a:gradFill rotWithShape="1">
              <a:gsLst>
                <a:gs pos="0">
                  <a:schemeClr val="accent6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'SEMANA 45'!$E$25</c:f>
              <c:numCache>
                <c:formatCode>General</c:formatCode>
                <c:ptCount val="1"/>
                <c:pt idx="0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B1BD-49FA-9153-4A6526C71E65}"/>
            </c:ext>
          </c:extLst>
        </c:ser>
        <c:ser>
          <c:idx val="4"/>
          <c:order val="4"/>
          <c:tx>
            <c:v>5 Estrelas</c:v>
          </c:tx>
          <c:spPr>
            <a:gradFill rotWithShape="1">
              <a:gsLst>
                <a:gs pos="0">
                  <a:schemeClr val="accent5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glow rad="63500">
                <a:srgbClr val="FFFF00">
                  <a:alpha val="40000"/>
                </a:srgb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'SEMANA 45'!$F$25</c:f>
              <c:numCache>
                <c:formatCode>General</c:formatCode>
                <c:ptCount val="1"/>
                <c:pt idx="0">
                  <c:v>201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B1BD-49FA-9153-4A6526C71E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734872720"/>
        <c:axId val="1734875600"/>
      </c:barChart>
      <c:valAx>
        <c:axId val="17348756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34872720"/>
        <c:crosses val="autoZero"/>
        <c:crossBetween val="between"/>
      </c:valAx>
      <c:catAx>
        <c:axId val="1734872720"/>
        <c:scaling>
          <c:orientation val="minMax"/>
        </c:scaling>
        <c:delete val="1"/>
        <c:axPos val="l"/>
        <c:majorTickMark val="out"/>
        <c:minorTickMark val="none"/>
        <c:tickLblPos val="nextTo"/>
        <c:crossAx val="173487560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9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0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1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0.xml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352425</xdr:colOff>
      <xdr:row>8</xdr:row>
      <xdr:rowOff>66674</xdr:rowOff>
    </xdr:from>
    <xdr:to>
      <xdr:col>19</xdr:col>
      <xdr:colOff>47625</xdr:colOff>
      <xdr:row>23</xdr:row>
      <xdr:rowOff>76199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A40EE60-FA75-03FB-018D-0B4C05511D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0.32107</cdr:x>
      <cdr:y>0.89996</cdr:y>
    </cdr:from>
    <cdr:to>
      <cdr:x>0.85668</cdr:x>
      <cdr:y>0.97819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425663F6-4B2B-81F3-4587-DAF122FE022B}"/>
            </a:ext>
          </a:extLst>
        </cdr:cNvPr>
        <cdr:cNvSpPr txBox="1"/>
      </cdr:nvSpPr>
      <cdr:spPr>
        <a:xfrm xmlns:a="http://schemas.openxmlformats.org/drawingml/2006/main">
          <a:off x="1467924" y="2751635"/>
          <a:ext cx="2448801" cy="23921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pt-BR" sz="1100">
              <a:ln w="3175">
                <a:noFill/>
              </a:ln>
              <a:solidFill>
                <a:schemeClr val="bg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rPr>
            <a:t>Média</a:t>
          </a:r>
          <a:r>
            <a:rPr lang="pt-BR" sz="1100" baseline="0">
              <a:ln w="3175">
                <a:noFill/>
              </a:ln>
              <a:solidFill>
                <a:schemeClr val="bg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rPr>
            <a:t> da semana: 4.02 (+0.04%)</a:t>
          </a:r>
          <a:endParaRPr lang="pt-BR" sz="1100">
            <a:ln w="3175">
              <a:noFill/>
            </a:ln>
            <a:solidFill>
              <a:schemeClr val="bg1"/>
            </a:solidFill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a:endParaRP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352425</xdr:colOff>
      <xdr:row>8</xdr:row>
      <xdr:rowOff>66674</xdr:rowOff>
    </xdr:from>
    <xdr:to>
      <xdr:col>19</xdr:col>
      <xdr:colOff>47625</xdr:colOff>
      <xdr:row>23</xdr:row>
      <xdr:rowOff>76199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DA72B93-EBCF-4135-B72F-445FE1CE32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0.27524</cdr:x>
      <cdr:y>0.09622</cdr:y>
    </cdr:from>
    <cdr:to>
      <cdr:x>0.70833</cdr:x>
      <cdr:y>0.17445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425663F6-4B2B-81F3-4587-DAF122FE022B}"/>
            </a:ext>
          </a:extLst>
        </cdr:cNvPr>
        <cdr:cNvSpPr txBox="1"/>
      </cdr:nvSpPr>
      <cdr:spPr>
        <a:xfrm xmlns:a="http://schemas.openxmlformats.org/drawingml/2006/main">
          <a:off x="1258383" y="294200"/>
          <a:ext cx="1980118" cy="23919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pt-BR" sz="1100">
              <a:ln w="3175">
                <a:noFill/>
              </a:ln>
              <a:solidFill>
                <a:schemeClr val="bg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rPr>
            <a:t>Média</a:t>
          </a:r>
          <a:r>
            <a:rPr lang="pt-BR" sz="1100" baseline="0">
              <a:ln w="3175">
                <a:noFill/>
              </a:ln>
              <a:solidFill>
                <a:schemeClr val="bg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rPr>
            <a:t> da semana: 4.4 (+0.10%)</a:t>
          </a:r>
          <a:endParaRPr lang="pt-BR" sz="1100">
            <a:ln w="3175">
              <a:noFill/>
            </a:ln>
            <a:solidFill>
              <a:schemeClr val="bg1"/>
            </a:solidFill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352425</xdr:colOff>
      <xdr:row>8</xdr:row>
      <xdr:rowOff>66674</xdr:rowOff>
    </xdr:from>
    <xdr:to>
      <xdr:col>19</xdr:col>
      <xdr:colOff>47625</xdr:colOff>
      <xdr:row>23</xdr:row>
      <xdr:rowOff>76199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9F87302-84F1-4BCA-A9F1-1674CEB758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0.27524</cdr:x>
      <cdr:y>0.09622</cdr:y>
    </cdr:from>
    <cdr:to>
      <cdr:x>0.72917</cdr:x>
      <cdr:y>0.17445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425663F6-4B2B-81F3-4587-DAF122FE022B}"/>
            </a:ext>
          </a:extLst>
        </cdr:cNvPr>
        <cdr:cNvSpPr txBox="1"/>
      </cdr:nvSpPr>
      <cdr:spPr>
        <a:xfrm xmlns:a="http://schemas.openxmlformats.org/drawingml/2006/main">
          <a:off x="1258396" y="294195"/>
          <a:ext cx="2075353" cy="23919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pt-BR" sz="1100">
              <a:ln w="3175">
                <a:noFill/>
              </a:ln>
              <a:solidFill>
                <a:schemeClr val="bg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rPr>
            <a:t>Média</a:t>
          </a:r>
          <a:r>
            <a:rPr lang="pt-BR" sz="1100" baseline="0">
              <a:ln w="3175">
                <a:noFill/>
              </a:ln>
              <a:solidFill>
                <a:schemeClr val="bg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rPr>
            <a:t> da semana: 4.14 (-0.06%)</a:t>
          </a:r>
          <a:endParaRPr lang="pt-BR" sz="1100">
            <a:ln w="3175">
              <a:noFill/>
            </a:ln>
            <a:solidFill>
              <a:schemeClr val="bg1"/>
            </a:solidFill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352425</xdr:colOff>
      <xdr:row>8</xdr:row>
      <xdr:rowOff>66674</xdr:rowOff>
    </xdr:from>
    <xdr:to>
      <xdr:col>19</xdr:col>
      <xdr:colOff>47625</xdr:colOff>
      <xdr:row>23</xdr:row>
      <xdr:rowOff>76199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DF3B3FA-5451-46A0-9452-1FD2F0AC80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0.27524</cdr:x>
      <cdr:y>0.09622</cdr:y>
    </cdr:from>
    <cdr:to>
      <cdr:x>0.72917</cdr:x>
      <cdr:y>0.17445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425663F6-4B2B-81F3-4587-DAF122FE022B}"/>
            </a:ext>
          </a:extLst>
        </cdr:cNvPr>
        <cdr:cNvSpPr txBox="1"/>
      </cdr:nvSpPr>
      <cdr:spPr>
        <a:xfrm xmlns:a="http://schemas.openxmlformats.org/drawingml/2006/main">
          <a:off x="1258396" y="294195"/>
          <a:ext cx="2075353" cy="23919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pt-BR" sz="1100">
              <a:ln w="3175">
                <a:noFill/>
              </a:ln>
              <a:solidFill>
                <a:schemeClr val="bg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rPr>
            <a:t>Média</a:t>
          </a:r>
          <a:r>
            <a:rPr lang="pt-BR" sz="1100" baseline="0">
              <a:ln w="3175">
                <a:noFill/>
              </a:ln>
              <a:solidFill>
                <a:schemeClr val="bg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rPr>
            <a:t> da semana: 4.06 (-0.01%)</a:t>
          </a:r>
          <a:endParaRPr lang="pt-BR" sz="1100">
            <a:ln w="3175">
              <a:noFill/>
            </a:ln>
            <a:solidFill>
              <a:schemeClr val="bg1"/>
            </a:solidFill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a:endParaRPr>
        </a:p>
      </cdr:txBody>
    </cdr:sp>
  </cdr:relSizeAnchor>
</c:userShapes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352425</xdr:colOff>
      <xdr:row>8</xdr:row>
      <xdr:rowOff>66674</xdr:rowOff>
    </xdr:from>
    <xdr:to>
      <xdr:col>19</xdr:col>
      <xdr:colOff>47625</xdr:colOff>
      <xdr:row>23</xdr:row>
      <xdr:rowOff>76199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D84C14A-B204-409A-B50A-8691BFBB9C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0.27524</cdr:x>
      <cdr:y>0.09622</cdr:y>
    </cdr:from>
    <cdr:to>
      <cdr:x>0.72917</cdr:x>
      <cdr:y>0.17445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425663F6-4B2B-81F3-4587-DAF122FE022B}"/>
            </a:ext>
          </a:extLst>
        </cdr:cNvPr>
        <cdr:cNvSpPr txBox="1"/>
      </cdr:nvSpPr>
      <cdr:spPr>
        <a:xfrm xmlns:a="http://schemas.openxmlformats.org/drawingml/2006/main">
          <a:off x="1258396" y="294195"/>
          <a:ext cx="2075353" cy="23919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pt-BR" sz="1100">
              <a:ln w="3175">
                <a:noFill/>
              </a:ln>
              <a:solidFill>
                <a:schemeClr val="bg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rPr>
            <a:t>Média</a:t>
          </a:r>
          <a:r>
            <a:rPr lang="pt-BR" sz="1100" baseline="0">
              <a:ln w="3175">
                <a:noFill/>
              </a:ln>
              <a:solidFill>
                <a:schemeClr val="bg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rPr>
            <a:t> da semana: 3.75 (-0.07%)</a:t>
          </a:r>
          <a:endParaRPr lang="pt-BR" sz="1100">
            <a:ln w="3175">
              <a:noFill/>
            </a:ln>
            <a:solidFill>
              <a:schemeClr val="bg1"/>
            </a:solidFill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a:endParaRPr>
        </a:p>
      </cdr:txBody>
    </cdr:sp>
  </cdr:relSizeAnchor>
</c:userShapes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352425</xdr:colOff>
      <xdr:row>8</xdr:row>
      <xdr:rowOff>66674</xdr:rowOff>
    </xdr:from>
    <xdr:to>
      <xdr:col>19</xdr:col>
      <xdr:colOff>47625</xdr:colOff>
      <xdr:row>23</xdr:row>
      <xdr:rowOff>76199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EC5A79-D39F-457D-B4D5-A53FD82560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c:userShapes xmlns:c="http://schemas.openxmlformats.org/drawingml/2006/chart">
  <cdr:relSizeAnchor xmlns:cdr="http://schemas.openxmlformats.org/drawingml/2006/chartDrawing">
    <cdr:from>
      <cdr:x>0.27524</cdr:x>
      <cdr:y>0.09622</cdr:y>
    </cdr:from>
    <cdr:to>
      <cdr:x>0.72917</cdr:x>
      <cdr:y>0.17445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425663F6-4B2B-81F3-4587-DAF122FE022B}"/>
            </a:ext>
          </a:extLst>
        </cdr:cNvPr>
        <cdr:cNvSpPr txBox="1"/>
      </cdr:nvSpPr>
      <cdr:spPr>
        <a:xfrm xmlns:a="http://schemas.openxmlformats.org/drawingml/2006/main">
          <a:off x="1258396" y="294195"/>
          <a:ext cx="2075353" cy="23919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pt-BR" sz="1100">
              <a:ln w="3175">
                <a:noFill/>
              </a:ln>
              <a:solidFill>
                <a:schemeClr val="bg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rPr>
            <a:t>Média</a:t>
          </a:r>
          <a:r>
            <a:rPr lang="pt-BR" sz="1100" baseline="0">
              <a:ln w="3175">
                <a:noFill/>
              </a:ln>
              <a:solidFill>
                <a:schemeClr val="bg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rPr>
            <a:t> da semana: 4.17 (0.11%)</a:t>
          </a:r>
          <a:endParaRPr lang="pt-BR" sz="1100">
            <a:ln w="3175">
              <a:noFill/>
            </a:ln>
            <a:solidFill>
              <a:schemeClr val="bg1"/>
            </a:solidFill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a:endParaRPr>
        </a:p>
      </cdr:txBody>
    </cdr:sp>
  </cdr:relSizeAnchor>
</c:userShapes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352425</xdr:colOff>
      <xdr:row>8</xdr:row>
      <xdr:rowOff>66674</xdr:rowOff>
    </xdr:from>
    <xdr:to>
      <xdr:col>19</xdr:col>
      <xdr:colOff>47625</xdr:colOff>
      <xdr:row>23</xdr:row>
      <xdr:rowOff>76199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0F9D138-C353-43C7-ABD9-291FA908CB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c:userShapes xmlns:c="http://schemas.openxmlformats.org/drawingml/2006/chart">
  <cdr:relSizeAnchor xmlns:cdr="http://schemas.openxmlformats.org/drawingml/2006/chartDrawing">
    <cdr:from>
      <cdr:x>0.27524</cdr:x>
      <cdr:y>0.09622</cdr:y>
    </cdr:from>
    <cdr:to>
      <cdr:x>0.72917</cdr:x>
      <cdr:y>0.17445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425663F6-4B2B-81F3-4587-DAF122FE022B}"/>
            </a:ext>
          </a:extLst>
        </cdr:cNvPr>
        <cdr:cNvSpPr txBox="1"/>
      </cdr:nvSpPr>
      <cdr:spPr>
        <a:xfrm xmlns:a="http://schemas.openxmlformats.org/drawingml/2006/main">
          <a:off x="1258396" y="294195"/>
          <a:ext cx="2075353" cy="23919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pt-BR" sz="1100">
              <a:ln w="3175">
                <a:noFill/>
              </a:ln>
              <a:solidFill>
                <a:schemeClr val="bg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rPr>
            <a:t>Média</a:t>
          </a:r>
          <a:r>
            <a:rPr lang="pt-BR" sz="1100" baseline="0">
              <a:ln w="3175">
                <a:noFill/>
              </a:ln>
              <a:solidFill>
                <a:schemeClr val="bg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rPr>
            <a:t> da semana: 3.65 (-0.12%)</a:t>
          </a:r>
          <a:endParaRPr lang="pt-BR" sz="1100">
            <a:ln w="3175">
              <a:noFill/>
            </a:ln>
            <a:solidFill>
              <a:schemeClr val="bg1"/>
            </a:solidFill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a:endParaRPr>
        </a:p>
      </cdr:txBody>
    </cdr:sp>
  </cdr:relSizeAnchor>
</c:userShapes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1838325</xdr:colOff>
      <xdr:row>8</xdr:row>
      <xdr:rowOff>9524</xdr:rowOff>
    </xdr:from>
    <xdr:to>
      <xdr:col>16</xdr:col>
      <xdr:colOff>295275</xdr:colOff>
      <xdr:row>23</xdr:row>
      <xdr:rowOff>19049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A73ACA9-9E24-4A5B-9AFB-431FA7EE31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.xml><?xml version="1.0" encoding="utf-8"?>
<c:userShapes xmlns:c="http://schemas.openxmlformats.org/drawingml/2006/chart">
  <cdr:relSizeAnchor xmlns:cdr="http://schemas.openxmlformats.org/drawingml/2006/chartDrawing">
    <cdr:from>
      <cdr:x>0.27524</cdr:x>
      <cdr:y>0.09622</cdr:y>
    </cdr:from>
    <cdr:to>
      <cdr:x>0.72917</cdr:x>
      <cdr:y>0.17445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425663F6-4B2B-81F3-4587-DAF122FE022B}"/>
            </a:ext>
          </a:extLst>
        </cdr:cNvPr>
        <cdr:cNvSpPr txBox="1"/>
      </cdr:nvSpPr>
      <cdr:spPr>
        <a:xfrm xmlns:a="http://schemas.openxmlformats.org/drawingml/2006/main">
          <a:off x="1258396" y="294195"/>
          <a:ext cx="2075353" cy="23919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pt-BR" sz="1100">
              <a:ln w="3175">
                <a:noFill/>
              </a:ln>
              <a:solidFill>
                <a:schemeClr val="bg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rPr>
            <a:t>Média</a:t>
          </a:r>
          <a:r>
            <a:rPr lang="pt-BR" sz="1100" baseline="0">
              <a:ln w="3175">
                <a:noFill/>
              </a:ln>
              <a:solidFill>
                <a:schemeClr val="bg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rPr>
            <a:t> da semana: 3.81 (0.04%)</a:t>
          </a:r>
          <a:endParaRPr lang="pt-BR" sz="1100">
            <a:ln w="3175">
              <a:noFill/>
            </a:ln>
            <a:solidFill>
              <a:schemeClr val="bg1"/>
            </a:solidFill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a:endParaRPr>
        </a:p>
      </cdr:txBody>
    </cdr:sp>
  </cdr:relSizeAnchor>
</c:userShapes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1838325</xdr:colOff>
      <xdr:row>8</xdr:row>
      <xdr:rowOff>9524</xdr:rowOff>
    </xdr:from>
    <xdr:to>
      <xdr:col>16</xdr:col>
      <xdr:colOff>295275</xdr:colOff>
      <xdr:row>23</xdr:row>
      <xdr:rowOff>19049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2994F90-E383-44C7-A362-0376D714CD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8.xml><?xml version="1.0" encoding="utf-8"?>
<c:userShapes xmlns:c="http://schemas.openxmlformats.org/drawingml/2006/chart">
  <cdr:relSizeAnchor xmlns:cdr="http://schemas.openxmlformats.org/drawingml/2006/chartDrawing">
    <cdr:from>
      <cdr:x>0.27524</cdr:x>
      <cdr:y>0.09622</cdr:y>
    </cdr:from>
    <cdr:to>
      <cdr:x>0.72917</cdr:x>
      <cdr:y>0.17445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425663F6-4B2B-81F3-4587-DAF122FE022B}"/>
            </a:ext>
          </a:extLst>
        </cdr:cNvPr>
        <cdr:cNvSpPr txBox="1"/>
      </cdr:nvSpPr>
      <cdr:spPr>
        <a:xfrm xmlns:a="http://schemas.openxmlformats.org/drawingml/2006/main">
          <a:off x="1258396" y="294195"/>
          <a:ext cx="2075353" cy="23919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pt-BR" sz="1100">
              <a:ln w="3175">
                <a:noFill/>
              </a:ln>
              <a:solidFill>
                <a:schemeClr val="bg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rPr>
            <a:t>Média</a:t>
          </a:r>
          <a:r>
            <a:rPr lang="pt-BR" sz="1100" baseline="0">
              <a:ln w="3175">
                <a:noFill/>
              </a:ln>
              <a:solidFill>
                <a:schemeClr val="bg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rPr>
            <a:t> da semana: 4.11 (0.08%)</a:t>
          </a:r>
          <a:endParaRPr lang="pt-BR" sz="1100">
            <a:ln w="3175">
              <a:noFill/>
            </a:ln>
            <a:solidFill>
              <a:schemeClr val="bg1"/>
            </a:solidFill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a:endParaRPr>
        </a:p>
      </cdr:txBody>
    </cdr:sp>
  </cdr:relSizeAnchor>
</c:userShapes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1838325</xdr:colOff>
      <xdr:row>8</xdr:row>
      <xdr:rowOff>9524</xdr:rowOff>
    </xdr:from>
    <xdr:to>
      <xdr:col>16</xdr:col>
      <xdr:colOff>295275</xdr:colOff>
      <xdr:row>23</xdr:row>
      <xdr:rowOff>19049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72EC41B-5BEF-443F-9DDA-56F07BDC8E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0.xml><?xml version="1.0" encoding="utf-8"?>
<c:userShapes xmlns:c="http://schemas.openxmlformats.org/drawingml/2006/chart">
  <cdr:relSizeAnchor xmlns:cdr="http://schemas.openxmlformats.org/drawingml/2006/chartDrawing">
    <cdr:from>
      <cdr:x>0.27524</cdr:x>
      <cdr:y>0.09622</cdr:y>
    </cdr:from>
    <cdr:to>
      <cdr:x>0.72917</cdr:x>
      <cdr:y>0.17445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425663F6-4B2B-81F3-4587-DAF122FE022B}"/>
            </a:ext>
          </a:extLst>
        </cdr:cNvPr>
        <cdr:cNvSpPr txBox="1"/>
      </cdr:nvSpPr>
      <cdr:spPr>
        <a:xfrm xmlns:a="http://schemas.openxmlformats.org/drawingml/2006/main">
          <a:off x="1258396" y="294195"/>
          <a:ext cx="2075353" cy="23919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pt-BR" sz="1100">
              <a:ln w="3175">
                <a:noFill/>
              </a:ln>
              <a:solidFill>
                <a:schemeClr val="bg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rPr>
            <a:t>Média</a:t>
          </a:r>
          <a:r>
            <a:rPr lang="pt-BR" sz="1100" baseline="0">
              <a:ln w="3175">
                <a:noFill/>
              </a:ln>
              <a:solidFill>
                <a:schemeClr val="bg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rPr>
            <a:t> da semana: 4.09 (-0.01%)</a:t>
          </a:r>
          <a:endParaRPr lang="pt-BR" sz="1100">
            <a:ln w="3175">
              <a:noFill/>
            </a:ln>
            <a:solidFill>
              <a:schemeClr val="bg1"/>
            </a:solidFill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a:endParaRPr>
        </a:p>
      </cdr:txBody>
    </cdr:sp>
  </cdr:relSizeAnchor>
</c:userShapes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1838325</xdr:colOff>
      <xdr:row>8</xdr:row>
      <xdr:rowOff>9524</xdr:rowOff>
    </xdr:from>
    <xdr:to>
      <xdr:col>16</xdr:col>
      <xdr:colOff>295275</xdr:colOff>
      <xdr:row>23</xdr:row>
      <xdr:rowOff>19049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C2D5F25-56C6-4B85-9909-1E6D85C6F9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2.xml><?xml version="1.0" encoding="utf-8"?>
<c:userShapes xmlns:c="http://schemas.openxmlformats.org/drawingml/2006/chart">
  <cdr:relSizeAnchor xmlns:cdr="http://schemas.openxmlformats.org/drawingml/2006/chartDrawing">
    <cdr:from>
      <cdr:x>0.27524</cdr:x>
      <cdr:y>0.09622</cdr:y>
    </cdr:from>
    <cdr:to>
      <cdr:x>0.72917</cdr:x>
      <cdr:y>0.17445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425663F6-4B2B-81F3-4587-DAF122FE022B}"/>
            </a:ext>
          </a:extLst>
        </cdr:cNvPr>
        <cdr:cNvSpPr txBox="1"/>
      </cdr:nvSpPr>
      <cdr:spPr>
        <a:xfrm xmlns:a="http://schemas.openxmlformats.org/drawingml/2006/main">
          <a:off x="1258396" y="294195"/>
          <a:ext cx="2075353" cy="23919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pt-BR" sz="1100">
              <a:ln w="3175">
                <a:noFill/>
              </a:ln>
              <a:solidFill>
                <a:schemeClr val="bg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rPr>
            <a:t>Média</a:t>
          </a:r>
          <a:r>
            <a:rPr lang="pt-BR" sz="1100" baseline="0">
              <a:ln w="3175">
                <a:noFill/>
              </a:ln>
              <a:solidFill>
                <a:schemeClr val="bg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rPr>
            <a:t> da semana: 4.00 (-0.01%)</a:t>
          </a:r>
          <a:endParaRPr lang="pt-BR" sz="1100">
            <a:ln w="3175">
              <a:noFill/>
            </a:ln>
            <a:solidFill>
              <a:schemeClr val="bg1"/>
            </a:solidFill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a:endParaRPr>
        </a:p>
      </cdr:txBody>
    </cdr:sp>
  </cdr:relSizeAnchor>
</c:userShapes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57150</xdr:colOff>
      <xdr:row>8</xdr:row>
      <xdr:rowOff>19049</xdr:rowOff>
    </xdr:from>
    <xdr:to>
      <xdr:col>13</xdr:col>
      <xdr:colOff>342900</xdr:colOff>
      <xdr:row>23</xdr:row>
      <xdr:rowOff>28574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2BEE50E-2ACE-4C12-B94C-EA9ACF60EF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4.xml><?xml version="1.0" encoding="utf-8"?>
<c:userShapes xmlns:c="http://schemas.openxmlformats.org/drawingml/2006/chart">
  <cdr:relSizeAnchor xmlns:cdr="http://schemas.openxmlformats.org/drawingml/2006/chartDrawing">
    <cdr:from>
      <cdr:x>0.27524</cdr:x>
      <cdr:y>0.09622</cdr:y>
    </cdr:from>
    <cdr:to>
      <cdr:x>0.72917</cdr:x>
      <cdr:y>0.17445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425663F6-4B2B-81F3-4587-DAF122FE022B}"/>
            </a:ext>
          </a:extLst>
        </cdr:cNvPr>
        <cdr:cNvSpPr txBox="1"/>
      </cdr:nvSpPr>
      <cdr:spPr>
        <a:xfrm xmlns:a="http://schemas.openxmlformats.org/drawingml/2006/main">
          <a:off x="1258396" y="294195"/>
          <a:ext cx="2075353" cy="23919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pt-BR" sz="1100">
              <a:ln w="3175">
                <a:noFill/>
              </a:ln>
              <a:solidFill>
                <a:schemeClr val="bg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rPr>
            <a:t>Média</a:t>
          </a:r>
          <a:r>
            <a:rPr lang="pt-BR" sz="1100" baseline="0">
              <a:ln w="3175">
                <a:noFill/>
              </a:ln>
              <a:solidFill>
                <a:schemeClr val="bg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rPr>
            <a:t> da semana: 4.13 (0.03%)</a:t>
          </a:r>
          <a:endParaRPr lang="pt-BR" sz="1100">
            <a:ln w="3175">
              <a:noFill/>
            </a:ln>
            <a:solidFill>
              <a:schemeClr val="bg1"/>
            </a:solidFill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a:endParaRPr>
        </a:p>
      </cdr:txBody>
    </cdr:sp>
  </cdr:relSizeAnchor>
</c:userShapes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57150</xdr:colOff>
      <xdr:row>8</xdr:row>
      <xdr:rowOff>19049</xdr:rowOff>
    </xdr:from>
    <xdr:to>
      <xdr:col>13</xdr:col>
      <xdr:colOff>342900</xdr:colOff>
      <xdr:row>23</xdr:row>
      <xdr:rowOff>28574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C4E3E34-862C-474C-BAAE-75ADB57F0B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6.xml><?xml version="1.0" encoding="utf-8"?>
<c:userShapes xmlns:c="http://schemas.openxmlformats.org/drawingml/2006/chart">
  <cdr:relSizeAnchor xmlns:cdr="http://schemas.openxmlformats.org/drawingml/2006/chartDrawing">
    <cdr:from>
      <cdr:x>0.26066</cdr:x>
      <cdr:y>0.09622</cdr:y>
    </cdr:from>
    <cdr:to>
      <cdr:x>0.72917</cdr:x>
      <cdr:y>0.17445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425663F6-4B2B-81F3-4587-DAF122FE022B}"/>
            </a:ext>
          </a:extLst>
        </cdr:cNvPr>
        <cdr:cNvSpPr txBox="1"/>
      </cdr:nvSpPr>
      <cdr:spPr>
        <a:xfrm xmlns:a="http://schemas.openxmlformats.org/drawingml/2006/main">
          <a:off x="1191722" y="294195"/>
          <a:ext cx="2142028" cy="23919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pt-BR" sz="1100">
              <a:ln w="3175">
                <a:noFill/>
              </a:ln>
              <a:solidFill>
                <a:schemeClr val="bg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rPr>
            <a:t>Média</a:t>
          </a:r>
          <a:r>
            <a:rPr lang="pt-BR" sz="1100" baseline="0">
              <a:ln w="3175">
                <a:noFill/>
              </a:ln>
              <a:solidFill>
                <a:schemeClr val="bg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rPr>
            <a:t> da semana: 4.09 (-0.007%)</a:t>
          </a:r>
          <a:endParaRPr lang="pt-BR" sz="1100">
            <a:ln w="3175">
              <a:noFill/>
            </a:ln>
            <a:solidFill>
              <a:schemeClr val="bg1"/>
            </a:solidFill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a:endParaRPr>
        </a:p>
      </cdr:txBody>
    </cdr:sp>
  </cdr:relSizeAnchor>
</c:userShapes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57150</xdr:colOff>
      <xdr:row>8</xdr:row>
      <xdr:rowOff>19049</xdr:rowOff>
    </xdr:from>
    <xdr:to>
      <xdr:col>13</xdr:col>
      <xdr:colOff>342900</xdr:colOff>
      <xdr:row>23</xdr:row>
      <xdr:rowOff>28574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D6F4AFF-490E-4BE4-93B4-5EE98F07AC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8.xml><?xml version="1.0" encoding="utf-8"?>
<c:userShapes xmlns:c="http://schemas.openxmlformats.org/drawingml/2006/chart">
  <cdr:relSizeAnchor xmlns:cdr="http://schemas.openxmlformats.org/drawingml/2006/chartDrawing">
    <cdr:from>
      <cdr:x>0.26066</cdr:x>
      <cdr:y>0.09622</cdr:y>
    </cdr:from>
    <cdr:to>
      <cdr:x>0.72917</cdr:x>
      <cdr:y>0.17445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425663F6-4B2B-81F3-4587-DAF122FE022B}"/>
            </a:ext>
          </a:extLst>
        </cdr:cNvPr>
        <cdr:cNvSpPr txBox="1"/>
      </cdr:nvSpPr>
      <cdr:spPr>
        <a:xfrm xmlns:a="http://schemas.openxmlformats.org/drawingml/2006/main">
          <a:off x="1191722" y="294195"/>
          <a:ext cx="2142028" cy="23919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pt-BR" sz="1100">
              <a:ln w="3175">
                <a:noFill/>
              </a:ln>
              <a:solidFill>
                <a:schemeClr val="bg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rPr>
            <a:t>Média</a:t>
          </a:r>
          <a:r>
            <a:rPr lang="pt-BR" sz="1100" baseline="0">
              <a:ln w="3175">
                <a:noFill/>
              </a:ln>
              <a:solidFill>
                <a:schemeClr val="bg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rPr>
            <a:t> da semana: 3.89 (-0.05%)</a:t>
          </a:r>
          <a:endParaRPr lang="pt-BR" sz="1100">
            <a:ln w="3175">
              <a:noFill/>
            </a:ln>
            <a:solidFill>
              <a:schemeClr val="bg1"/>
            </a:solidFill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a:endParaRPr>
        </a:p>
      </cdr:txBody>
    </cdr:sp>
  </cdr:relSizeAnchor>
</c:userShapes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57150</xdr:colOff>
      <xdr:row>8</xdr:row>
      <xdr:rowOff>19049</xdr:rowOff>
    </xdr:from>
    <xdr:to>
      <xdr:col>13</xdr:col>
      <xdr:colOff>342900</xdr:colOff>
      <xdr:row>23</xdr:row>
      <xdr:rowOff>28574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FE7557C-2B15-488A-8704-0D4293D425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0.xml><?xml version="1.0" encoding="utf-8"?>
<c:userShapes xmlns:c="http://schemas.openxmlformats.org/drawingml/2006/chart">
  <cdr:relSizeAnchor xmlns:cdr="http://schemas.openxmlformats.org/drawingml/2006/chartDrawing">
    <cdr:from>
      <cdr:x>0.26066</cdr:x>
      <cdr:y>0.09622</cdr:y>
    </cdr:from>
    <cdr:to>
      <cdr:x>0.72917</cdr:x>
      <cdr:y>0.17445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425663F6-4B2B-81F3-4587-DAF122FE022B}"/>
            </a:ext>
          </a:extLst>
        </cdr:cNvPr>
        <cdr:cNvSpPr txBox="1"/>
      </cdr:nvSpPr>
      <cdr:spPr>
        <a:xfrm xmlns:a="http://schemas.openxmlformats.org/drawingml/2006/main">
          <a:off x="1191722" y="294195"/>
          <a:ext cx="2142028" cy="23919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pt-BR" sz="1100">
              <a:ln w="3175">
                <a:noFill/>
              </a:ln>
              <a:solidFill>
                <a:schemeClr val="bg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rPr>
            <a:t>Média</a:t>
          </a:r>
          <a:r>
            <a:rPr lang="pt-BR" sz="1100" baseline="0">
              <a:ln w="3175">
                <a:noFill/>
              </a:ln>
              <a:solidFill>
                <a:schemeClr val="bg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rPr>
            <a:t> da semana: 3.73 (-0.03%)</a:t>
          </a:r>
          <a:endParaRPr lang="pt-BR" sz="1100">
            <a:ln w="3175">
              <a:noFill/>
            </a:ln>
            <a:solidFill>
              <a:schemeClr val="bg1"/>
            </a:solidFill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a:endParaRPr>
        </a:p>
      </cdr:txBody>
    </cdr:sp>
  </cdr:relSizeAnchor>
</c:userShapes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57150</xdr:colOff>
      <xdr:row>8</xdr:row>
      <xdr:rowOff>19049</xdr:rowOff>
    </xdr:from>
    <xdr:to>
      <xdr:col>13</xdr:col>
      <xdr:colOff>342900</xdr:colOff>
      <xdr:row>23</xdr:row>
      <xdr:rowOff>28574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2CEF3C6-30B4-438A-BDDD-1778E3EB9E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2.xml><?xml version="1.0" encoding="utf-8"?>
<c:userShapes xmlns:c="http://schemas.openxmlformats.org/drawingml/2006/chart">
  <cdr:relSizeAnchor xmlns:cdr="http://schemas.openxmlformats.org/drawingml/2006/chartDrawing">
    <cdr:from>
      <cdr:x>0.26066</cdr:x>
      <cdr:y>0.09622</cdr:y>
    </cdr:from>
    <cdr:to>
      <cdr:x>0.72917</cdr:x>
      <cdr:y>0.17445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425663F6-4B2B-81F3-4587-DAF122FE022B}"/>
            </a:ext>
          </a:extLst>
        </cdr:cNvPr>
        <cdr:cNvSpPr txBox="1"/>
      </cdr:nvSpPr>
      <cdr:spPr>
        <a:xfrm xmlns:a="http://schemas.openxmlformats.org/drawingml/2006/main">
          <a:off x="1191722" y="294195"/>
          <a:ext cx="2142028" cy="23919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pt-BR" sz="1100">
              <a:ln w="3175">
                <a:noFill/>
              </a:ln>
              <a:solidFill>
                <a:schemeClr val="bg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rPr>
            <a:t>Média</a:t>
          </a:r>
          <a:r>
            <a:rPr lang="pt-BR" sz="1100" baseline="0">
              <a:ln w="3175">
                <a:noFill/>
              </a:ln>
              <a:solidFill>
                <a:schemeClr val="bg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rPr>
            <a:t> da semana: 4.23 (0.13%)</a:t>
          </a:r>
          <a:endParaRPr lang="pt-BR" sz="1100">
            <a:ln w="3175">
              <a:noFill/>
            </a:ln>
            <a:solidFill>
              <a:schemeClr val="bg1"/>
            </a:solidFill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a:endParaRPr>
        </a:p>
      </cdr:txBody>
    </cdr:sp>
  </cdr:relSizeAnchor>
</c:userShapes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57150</xdr:colOff>
      <xdr:row>8</xdr:row>
      <xdr:rowOff>19049</xdr:rowOff>
    </xdr:from>
    <xdr:to>
      <xdr:col>13</xdr:col>
      <xdr:colOff>342900</xdr:colOff>
      <xdr:row>23</xdr:row>
      <xdr:rowOff>28574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F964580-0FCF-4C2B-8E84-000F7CB68C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4.xml><?xml version="1.0" encoding="utf-8"?>
<c:userShapes xmlns:c="http://schemas.openxmlformats.org/drawingml/2006/chart">
  <cdr:relSizeAnchor xmlns:cdr="http://schemas.openxmlformats.org/drawingml/2006/chartDrawing">
    <cdr:from>
      <cdr:x>0.26066</cdr:x>
      <cdr:y>0.09622</cdr:y>
    </cdr:from>
    <cdr:to>
      <cdr:x>0.72917</cdr:x>
      <cdr:y>0.17445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425663F6-4B2B-81F3-4587-DAF122FE022B}"/>
            </a:ext>
          </a:extLst>
        </cdr:cNvPr>
        <cdr:cNvSpPr txBox="1"/>
      </cdr:nvSpPr>
      <cdr:spPr>
        <a:xfrm xmlns:a="http://schemas.openxmlformats.org/drawingml/2006/main">
          <a:off x="1191722" y="294195"/>
          <a:ext cx="2142028" cy="23919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pt-BR" sz="1100">
              <a:ln w="3175">
                <a:noFill/>
              </a:ln>
              <a:solidFill>
                <a:schemeClr val="bg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rPr>
            <a:t>Média</a:t>
          </a:r>
          <a:r>
            <a:rPr lang="pt-BR" sz="1100" baseline="0">
              <a:ln w="3175">
                <a:noFill/>
              </a:ln>
              <a:solidFill>
                <a:schemeClr val="bg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rPr>
            <a:t> da semana: 3.92 (-0.07%)</a:t>
          </a:r>
          <a:endParaRPr lang="pt-BR" sz="1100">
            <a:ln w="3175">
              <a:noFill/>
            </a:ln>
            <a:solidFill>
              <a:schemeClr val="bg1"/>
            </a:solidFill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a:endParaRPr>
        </a:p>
      </cdr:txBody>
    </cdr:sp>
  </cdr:relSizeAnchor>
</c:userShapes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57150</xdr:colOff>
      <xdr:row>8</xdr:row>
      <xdr:rowOff>19049</xdr:rowOff>
    </xdr:from>
    <xdr:to>
      <xdr:col>13</xdr:col>
      <xdr:colOff>342900</xdr:colOff>
      <xdr:row>23</xdr:row>
      <xdr:rowOff>28574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9D5794A-71ED-458A-AED7-0424C08332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6.xml><?xml version="1.0" encoding="utf-8"?>
<c:userShapes xmlns:c="http://schemas.openxmlformats.org/drawingml/2006/chart">
  <cdr:relSizeAnchor xmlns:cdr="http://schemas.openxmlformats.org/drawingml/2006/chartDrawing">
    <cdr:from>
      <cdr:x>0.26066</cdr:x>
      <cdr:y>0.09622</cdr:y>
    </cdr:from>
    <cdr:to>
      <cdr:x>0.72917</cdr:x>
      <cdr:y>0.17445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425663F6-4B2B-81F3-4587-DAF122FE022B}"/>
            </a:ext>
          </a:extLst>
        </cdr:cNvPr>
        <cdr:cNvSpPr txBox="1"/>
      </cdr:nvSpPr>
      <cdr:spPr>
        <a:xfrm xmlns:a="http://schemas.openxmlformats.org/drawingml/2006/main">
          <a:off x="1191722" y="294195"/>
          <a:ext cx="2142028" cy="23919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pt-BR" sz="1100">
              <a:ln w="3175">
                <a:noFill/>
              </a:ln>
              <a:solidFill>
                <a:schemeClr val="bg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rPr>
            <a:t>Média</a:t>
          </a:r>
          <a:r>
            <a:rPr lang="pt-BR" sz="1100" baseline="0">
              <a:ln w="3175">
                <a:noFill/>
              </a:ln>
              <a:solidFill>
                <a:schemeClr val="bg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rPr>
            <a:t> da semana: 3.68 (-0.06%)</a:t>
          </a:r>
          <a:endParaRPr lang="pt-BR" sz="1100">
            <a:ln w="3175">
              <a:noFill/>
            </a:ln>
            <a:solidFill>
              <a:schemeClr val="bg1"/>
            </a:solidFill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a:endParaRPr>
        </a:p>
      </cdr:txBody>
    </cdr:sp>
  </cdr:relSizeAnchor>
</c:userShapes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57150</xdr:colOff>
      <xdr:row>8</xdr:row>
      <xdr:rowOff>19049</xdr:rowOff>
    </xdr:from>
    <xdr:to>
      <xdr:col>13</xdr:col>
      <xdr:colOff>342900</xdr:colOff>
      <xdr:row>23</xdr:row>
      <xdr:rowOff>28574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17DE3B9-BD38-4F9C-8569-3ED28E37FF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8.xml><?xml version="1.0" encoding="utf-8"?>
<c:userShapes xmlns:c="http://schemas.openxmlformats.org/drawingml/2006/chart">
  <cdr:relSizeAnchor xmlns:cdr="http://schemas.openxmlformats.org/drawingml/2006/chartDrawing">
    <cdr:from>
      <cdr:x>0.26066</cdr:x>
      <cdr:y>0.09622</cdr:y>
    </cdr:from>
    <cdr:to>
      <cdr:x>0.72917</cdr:x>
      <cdr:y>0.17445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425663F6-4B2B-81F3-4587-DAF122FE022B}"/>
            </a:ext>
          </a:extLst>
        </cdr:cNvPr>
        <cdr:cNvSpPr txBox="1"/>
      </cdr:nvSpPr>
      <cdr:spPr>
        <a:xfrm xmlns:a="http://schemas.openxmlformats.org/drawingml/2006/main">
          <a:off x="1191722" y="294195"/>
          <a:ext cx="2142028" cy="23919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pt-BR" sz="1100">
              <a:ln w="3175">
                <a:noFill/>
              </a:ln>
              <a:solidFill>
                <a:schemeClr val="bg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rPr>
            <a:t>Média</a:t>
          </a:r>
          <a:r>
            <a:rPr lang="pt-BR" sz="1100" baseline="0">
              <a:ln w="3175">
                <a:noFill/>
              </a:ln>
              <a:solidFill>
                <a:schemeClr val="bg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rPr>
            <a:t> da semana: 4.13 (0.12%)</a:t>
          </a:r>
          <a:endParaRPr lang="pt-BR" sz="1100">
            <a:ln w="3175">
              <a:noFill/>
            </a:ln>
            <a:solidFill>
              <a:schemeClr val="bg1"/>
            </a:solidFill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a:endParaRPr>
        </a:p>
      </cdr:txBody>
    </cdr:sp>
  </cdr:relSizeAnchor>
</c:userShapes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57150</xdr:colOff>
      <xdr:row>8</xdr:row>
      <xdr:rowOff>19049</xdr:rowOff>
    </xdr:from>
    <xdr:to>
      <xdr:col>13</xdr:col>
      <xdr:colOff>342900</xdr:colOff>
      <xdr:row>23</xdr:row>
      <xdr:rowOff>28574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F2EAF3F-59AB-466A-BEBC-D743AAF90E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0.xml><?xml version="1.0" encoding="utf-8"?>
<c:userShapes xmlns:c="http://schemas.openxmlformats.org/drawingml/2006/chart">
  <cdr:relSizeAnchor xmlns:cdr="http://schemas.openxmlformats.org/drawingml/2006/chartDrawing">
    <cdr:from>
      <cdr:x>0.26066</cdr:x>
      <cdr:y>0.09622</cdr:y>
    </cdr:from>
    <cdr:to>
      <cdr:x>0.72917</cdr:x>
      <cdr:y>0.17445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425663F6-4B2B-81F3-4587-DAF122FE022B}"/>
            </a:ext>
          </a:extLst>
        </cdr:cNvPr>
        <cdr:cNvSpPr txBox="1"/>
      </cdr:nvSpPr>
      <cdr:spPr>
        <a:xfrm xmlns:a="http://schemas.openxmlformats.org/drawingml/2006/main">
          <a:off x="1191722" y="294195"/>
          <a:ext cx="2142028" cy="23919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pt-BR" sz="1100">
              <a:ln w="3175">
                <a:noFill/>
              </a:ln>
              <a:solidFill>
                <a:schemeClr val="bg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rPr>
            <a:t>Média</a:t>
          </a:r>
          <a:r>
            <a:rPr lang="pt-BR" sz="1100" baseline="0">
              <a:ln w="3175">
                <a:noFill/>
              </a:ln>
              <a:solidFill>
                <a:schemeClr val="bg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rPr>
            <a:t> da semana: 4.18 (0.10%)</a:t>
          </a:r>
          <a:endParaRPr lang="pt-BR" sz="1100">
            <a:ln w="3175">
              <a:noFill/>
            </a:ln>
            <a:solidFill>
              <a:schemeClr val="bg1"/>
            </a:solidFill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a:endParaRPr>
        </a:p>
      </cdr:txBody>
    </cdr:sp>
  </cdr:relSizeAnchor>
</c:userShapes>
</file>

<file path=xl/drawings/drawing4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57150</xdr:colOff>
      <xdr:row>8</xdr:row>
      <xdr:rowOff>19049</xdr:rowOff>
    </xdr:from>
    <xdr:to>
      <xdr:col>13</xdr:col>
      <xdr:colOff>342900</xdr:colOff>
      <xdr:row>23</xdr:row>
      <xdr:rowOff>28574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B68E425-9C27-44BE-BCEF-22952EFDF2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2.xml><?xml version="1.0" encoding="utf-8"?>
<c:userShapes xmlns:c="http://schemas.openxmlformats.org/drawingml/2006/chart">
  <cdr:relSizeAnchor xmlns:cdr="http://schemas.openxmlformats.org/drawingml/2006/chartDrawing">
    <cdr:from>
      <cdr:x>0.26066</cdr:x>
      <cdr:y>0.09622</cdr:y>
    </cdr:from>
    <cdr:to>
      <cdr:x>0.72917</cdr:x>
      <cdr:y>0.17445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425663F6-4B2B-81F3-4587-DAF122FE022B}"/>
            </a:ext>
          </a:extLst>
        </cdr:cNvPr>
        <cdr:cNvSpPr txBox="1"/>
      </cdr:nvSpPr>
      <cdr:spPr>
        <a:xfrm xmlns:a="http://schemas.openxmlformats.org/drawingml/2006/main">
          <a:off x="1191722" y="294195"/>
          <a:ext cx="2142028" cy="23919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pt-BR" sz="1100">
              <a:ln w="3175">
                <a:noFill/>
              </a:ln>
              <a:solidFill>
                <a:schemeClr val="bg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rPr>
            <a:t>Média</a:t>
          </a:r>
          <a:r>
            <a:rPr lang="pt-BR" sz="1100" baseline="0">
              <a:ln w="3175">
                <a:noFill/>
              </a:ln>
              <a:solidFill>
                <a:schemeClr val="bg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rPr>
            <a:t> da semana: 4.22 (0.01%)</a:t>
          </a:r>
          <a:endParaRPr lang="pt-BR" sz="1100">
            <a:ln w="3175">
              <a:noFill/>
            </a:ln>
            <a:solidFill>
              <a:schemeClr val="bg1"/>
            </a:solidFill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A583B-7ECA-431D-941D-80A97818C3F5}">
  <dimension ref="A1:S27"/>
  <sheetViews>
    <sheetView topLeftCell="A3" workbookViewId="0">
      <selection activeCell="H18" sqref="H18:H21"/>
    </sheetView>
  </sheetViews>
  <sheetFormatPr defaultRowHeight="14.45"/>
  <cols>
    <col min="1" max="1" width="24.42578125" customWidth="1"/>
    <col min="2" max="2" width="4.140625" bestFit="1" customWidth="1"/>
    <col min="3" max="3" width="7" bestFit="1" customWidth="1"/>
    <col min="4" max="4" width="9.85546875" bestFit="1" customWidth="1"/>
    <col min="5" max="5" width="12.7109375" bestFit="1" customWidth="1"/>
    <col min="6" max="6" width="15.7109375" bestFit="1" customWidth="1"/>
    <col min="7" max="7" width="37.85546875" customWidth="1"/>
    <col min="8" max="8" width="33.7109375" customWidth="1"/>
    <col min="9" max="9" width="26" customWidth="1"/>
  </cols>
  <sheetData>
    <row r="1" spans="1:19" ht="15" thickBot="1">
      <c r="B1" s="4" t="s">
        <v>0</v>
      </c>
      <c r="C1" s="5" t="s">
        <v>1</v>
      </c>
      <c r="D1" s="6" t="s">
        <v>2</v>
      </c>
      <c r="E1" s="7" t="s">
        <v>3</v>
      </c>
      <c r="F1" s="8" t="s">
        <v>4</v>
      </c>
      <c r="G1" s="2" t="s">
        <v>5</v>
      </c>
      <c r="H1" s="3" t="s">
        <v>6</v>
      </c>
      <c r="O1" s="9">
        <v>1</v>
      </c>
      <c r="P1" s="9">
        <v>1</v>
      </c>
      <c r="Q1" s="9">
        <v>11</v>
      </c>
      <c r="R1" s="9">
        <v>23</v>
      </c>
      <c r="S1" s="9">
        <v>26</v>
      </c>
    </row>
    <row r="2" spans="1:19">
      <c r="A2" s="39" t="s">
        <v>7</v>
      </c>
      <c r="B2" s="40">
        <v>1</v>
      </c>
      <c r="C2" s="40">
        <v>1</v>
      </c>
      <c r="D2" s="40">
        <v>11</v>
      </c>
      <c r="E2" s="40">
        <v>23</v>
      </c>
      <c r="F2" s="65">
        <v>26</v>
      </c>
      <c r="G2" s="65">
        <f>SUM(B2:F2)</f>
        <v>62</v>
      </c>
      <c r="H2" s="72">
        <f>SUM(G2:G5)</f>
        <v>101</v>
      </c>
      <c r="O2" s="10">
        <v>2</v>
      </c>
      <c r="P2" s="10">
        <v>2</v>
      </c>
      <c r="Q2" s="10">
        <v>8</v>
      </c>
      <c r="R2" s="10">
        <v>20</v>
      </c>
      <c r="S2" s="10">
        <v>7</v>
      </c>
    </row>
    <row r="3" spans="1:19">
      <c r="A3" s="42" t="s">
        <v>8</v>
      </c>
      <c r="B3" s="34"/>
      <c r="C3" s="34"/>
      <c r="D3" s="34"/>
      <c r="E3" s="34"/>
      <c r="F3" s="34"/>
      <c r="G3" s="35">
        <f>SUM(B3:F3)</f>
        <v>0</v>
      </c>
      <c r="H3" s="73"/>
      <c r="O3" s="11">
        <v>3</v>
      </c>
      <c r="P3" s="11">
        <v>11</v>
      </c>
      <c r="Q3" s="11">
        <v>23</v>
      </c>
      <c r="R3" s="11">
        <v>18</v>
      </c>
      <c r="S3" s="11">
        <v>19</v>
      </c>
    </row>
    <row r="4" spans="1:19">
      <c r="A4" s="42" t="s">
        <v>9</v>
      </c>
      <c r="B4" s="34">
        <v>2</v>
      </c>
      <c r="C4" s="34">
        <v>2</v>
      </c>
      <c r="D4" s="34">
        <v>8</v>
      </c>
      <c r="E4" s="34">
        <v>20</v>
      </c>
      <c r="F4" s="61">
        <v>7</v>
      </c>
      <c r="G4" s="61">
        <f t="shared" ref="G4:G23" si="0">SUM(B4:F4)</f>
        <v>39</v>
      </c>
      <c r="H4" s="73"/>
      <c r="O4" s="12">
        <v>28</v>
      </c>
      <c r="P4" s="12">
        <v>0</v>
      </c>
      <c r="Q4" s="12">
        <v>5</v>
      </c>
      <c r="R4" s="12">
        <v>11</v>
      </c>
      <c r="S4" s="12">
        <v>12</v>
      </c>
    </row>
    <row r="5" spans="1:19" ht="15" thickBot="1">
      <c r="A5" s="43" t="s">
        <v>10</v>
      </c>
      <c r="B5" s="44"/>
      <c r="C5" s="44"/>
      <c r="D5" s="44"/>
      <c r="E5" s="44"/>
      <c r="F5" s="44"/>
      <c r="G5" s="45">
        <f t="shared" si="0"/>
        <v>0</v>
      </c>
      <c r="H5" s="74"/>
      <c r="O5" s="13">
        <v>1</v>
      </c>
      <c r="P5" s="13">
        <v>0</v>
      </c>
      <c r="Q5" s="13">
        <v>2</v>
      </c>
      <c r="R5" s="13">
        <v>15</v>
      </c>
      <c r="S5" s="13">
        <v>38</v>
      </c>
    </row>
    <row r="6" spans="1:19">
      <c r="A6" s="46" t="s">
        <v>11</v>
      </c>
      <c r="B6" s="11">
        <v>3</v>
      </c>
      <c r="C6" s="11">
        <v>11</v>
      </c>
      <c r="D6" s="11">
        <v>23</v>
      </c>
      <c r="E6" s="11">
        <v>18</v>
      </c>
      <c r="F6" s="11">
        <v>19</v>
      </c>
      <c r="G6" s="48">
        <f t="shared" si="0"/>
        <v>74</v>
      </c>
      <c r="H6" s="69">
        <f>SUM(G6:G9)</f>
        <v>130</v>
      </c>
      <c r="O6" s="14">
        <v>2</v>
      </c>
      <c r="P6" s="14">
        <v>2</v>
      </c>
      <c r="Q6" s="14">
        <v>12</v>
      </c>
      <c r="R6" s="14">
        <v>12</v>
      </c>
      <c r="S6" s="14">
        <v>17</v>
      </c>
    </row>
    <row r="7" spans="1:19">
      <c r="A7" s="49" t="s">
        <v>12</v>
      </c>
      <c r="B7" s="36"/>
      <c r="C7" s="36"/>
      <c r="D7" s="36"/>
      <c r="E7" s="36"/>
      <c r="F7" s="36"/>
      <c r="G7" s="37">
        <f t="shared" si="0"/>
        <v>0</v>
      </c>
      <c r="H7" s="70"/>
      <c r="O7" s="11">
        <v>4</v>
      </c>
      <c r="P7" s="11">
        <v>12</v>
      </c>
      <c r="Q7" s="11">
        <v>16</v>
      </c>
      <c r="R7" s="11">
        <v>20</v>
      </c>
      <c r="S7" s="11">
        <v>3</v>
      </c>
    </row>
    <row r="8" spans="1:19">
      <c r="A8" s="49" t="s">
        <v>13</v>
      </c>
      <c r="B8" s="36">
        <v>28</v>
      </c>
      <c r="C8" s="36">
        <v>0</v>
      </c>
      <c r="D8" s="36">
        <v>5</v>
      </c>
      <c r="E8" s="36">
        <v>11</v>
      </c>
      <c r="F8" s="64">
        <v>12</v>
      </c>
      <c r="G8" s="62">
        <f t="shared" si="0"/>
        <v>56</v>
      </c>
      <c r="H8" s="70"/>
      <c r="O8" s="12">
        <v>2</v>
      </c>
      <c r="P8" s="12">
        <v>1</v>
      </c>
      <c r="Q8" s="12">
        <v>1</v>
      </c>
      <c r="R8" s="12">
        <v>7</v>
      </c>
      <c r="S8" s="12">
        <v>52</v>
      </c>
    </row>
    <row r="9" spans="1:19" ht="15" thickBot="1">
      <c r="A9" s="50" t="s">
        <v>14</v>
      </c>
      <c r="B9" s="51"/>
      <c r="C9" s="51"/>
      <c r="D9" s="51"/>
      <c r="E9" s="51"/>
      <c r="F9" s="51"/>
      <c r="G9" s="52">
        <f t="shared" si="0"/>
        <v>0</v>
      </c>
      <c r="H9" s="71"/>
      <c r="O9" s="13">
        <v>3</v>
      </c>
      <c r="P9" s="13">
        <v>4</v>
      </c>
      <c r="Q9" s="13">
        <v>2</v>
      </c>
      <c r="R9" s="13">
        <v>19</v>
      </c>
      <c r="S9" s="13">
        <v>27</v>
      </c>
    </row>
    <row r="10" spans="1:19">
      <c r="A10" s="53" t="s">
        <v>15</v>
      </c>
      <c r="B10" s="13">
        <v>1</v>
      </c>
      <c r="C10" s="13">
        <v>0</v>
      </c>
      <c r="D10" s="13">
        <v>2</v>
      </c>
      <c r="E10" s="13">
        <v>15</v>
      </c>
      <c r="F10" s="13">
        <v>38</v>
      </c>
      <c r="G10" s="41">
        <f t="shared" si="0"/>
        <v>56</v>
      </c>
      <c r="H10" s="72">
        <f>SUM(G10:G13)</f>
        <v>101</v>
      </c>
      <c r="O10" s="14">
        <v>3</v>
      </c>
      <c r="P10" s="14">
        <v>0</v>
      </c>
      <c r="Q10" s="14">
        <v>2</v>
      </c>
      <c r="R10" s="14">
        <v>7</v>
      </c>
      <c r="S10" s="14">
        <v>25</v>
      </c>
    </row>
    <row r="11" spans="1:19">
      <c r="A11" s="55" t="s">
        <v>16</v>
      </c>
      <c r="B11" s="38"/>
      <c r="C11" s="38"/>
      <c r="D11" s="38"/>
      <c r="E11" s="38"/>
      <c r="F11" s="38"/>
      <c r="G11" s="35">
        <f t="shared" si="0"/>
        <v>0</v>
      </c>
      <c r="H11" s="73"/>
      <c r="O11" s="20">
        <v>21</v>
      </c>
      <c r="P11" s="20">
        <v>9</v>
      </c>
      <c r="Q11" s="20">
        <v>16</v>
      </c>
      <c r="R11" s="20">
        <v>10</v>
      </c>
      <c r="S11" s="20">
        <v>5</v>
      </c>
    </row>
    <row r="12" spans="1:19">
      <c r="A12" s="55" t="s">
        <v>17</v>
      </c>
      <c r="B12" s="38">
        <v>2</v>
      </c>
      <c r="C12" s="38">
        <v>2</v>
      </c>
      <c r="D12" s="38">
        <v>12</v>
      </c>
      <c r="E12" s="38">
        <v>12</v>
      </c>
      <c r="F12" s="63">
        <v>17</v>
      </c>
      <c r="G12" s="61">
        <f t="shared" si="0"/>
        <v>45</v>
      </c>
      <c r="H12" s="73"/>
    </row>
    <row r="13" spans="1:19" ht="15" thickBot="1">
      <c r="A13" s="56" t="s">
        <v>18</v>
      </c>
      <c r="B13" s="57"/>
      <c r="C13" s="57"/>
      <c r="D13" s="57"/>
      <c r="E13" s="57"/>
      <c r="F13" s="57"/>
      <c r="G13" s="45">
        <f t="shared" si="0"/>
        <v>0</v>
      </c>
      <c r="H13" s="74"/>
    </row>
    <row r="14" spans="1:19">
      <c r="A14" s="46" t="s">
        <v>19</v>
      </c>
      <c r="B14" s="11">
        <v>4</v>
      </c>
      <c r="C14" s="11">
        <v>12</v>
      </c>
      <c r="D14" s="11">
        <v>16</v>
      </c>
      <c r="E14" s="11">
        <v>20</v>
      </c>
      <c r="F14" s="11">
        <v>3</v>
      </c>
      <c r="G14" s="48">
        <f t="shared" si="0"/>
        <v>55</v>
      </c>
      <c r="H14" s="69">
        <f>SUM(G14:G17)</f>
        <v>118</v>
      </c>
    </row>
    <row r="15" spans="1:19">
      <c r="A15" s="49" t="s">
        <v>20</v>
      </c>
      <c r="B15" s="36"/>
      <c r="C15" s="36"/>
      <c r="D15" s="36"/>
      <c r="E15" s="36"/>
      <c r="F15" s="36"/>
      <c r="G15" s="37">
        <f t="shared" si="0"/>
        <v>0</v>
      </c>
      <c r="H15" s="70"/>
    </row>
    <row r="16" spans="1:19">
      <c r="A16" s="49" t="s">
        <v>21</v>
      </c>
      <c r="B16" s="36">
        <v>2</v>
      </c>
      <c r="C16" s="36">
        <v>1</v>
      </c>
      <c r="D16" s="36">
        <v>1</v>
      </c>
      <c r="E16" s="36">
        <v>7</v>
      </c>
      <c r="F16" s="64">
        <v>52</v>
      </c>
      <c r="G16" s="62">
        <f t="shared" si="0"/>
        <v>63</v>
      </c>
      <c r="H16" s="70"/>
    </row>
    <row r="17" spans="1:9" ht="15" thickBot="1">
      <c r="A17" s="50" t="s">
        <v>22</v>
      </c>
      <c r="B17" s="51"/>
      <c r="C17" s="51"/>
      <c r="D17" s="51"/>
      <c r="E17" s="51"/>
      <c r="F17" s="51"/>
      <c r="G17" s="52">
        <f t="shared" si="0"/>
        <v>0</v>
      </c>
      <c r="H17" s="71"/>
    </row>
    <row r="18" spans="1:9">
      <c r="A18" s="53" t="s">
        <v>23</v>
      </c>
      <c r="B18" s="13">
        <v>3</v>
      </c>
      <c r="C18" s="13">
        <v>4</v>
      </c>
      <c r="D18" s="13">
        <v>2</v>
      </c>
      <c r="E18" s="13">
        <v>19</v>
      </c>
      <c r="F18" s="13">
        <v>27</v>
      </c>
      <c r="G18" s="41">
        <f t="shared" si="0"/>
        <v>55</v>
      </c>
      <c r="H18" s="72">
        <f>SUM(G18:G21)</f>
        <v>92</v>
      </c>
    </row>
    <row r="19" spans="1:9">
      <c r="A19" s="55" t="s">
        <v>24</v>
      </c>
      <c r="B19" s="38"/>
      <c r="C19" s="38"/>
      <c r="D19" s="38"/>
      <c r="E19" s="38"/>
      <c r="F19" s="38"/>
      <c r="G19" s="35">
        <f t="shared" si="0"/>
        <v>0</v>
      </c>
      <c r="H19" s="73"/>
    </row>
    <row r="20" spans="1:9">
      <c r="A20" s="55" t="s">
        <v>25</v>
      </c>
      <c r="B20" s="38">
        <v>3</v>
      </c>
      <c r="C20" s="38">
        <v>0</v>
      </c>
      <c r="D20" s="38">
        <v>2</v>
      </c>
      <c r="E20" s="38">
        <v>7</v>
      </c>
      <c r="F20" s="63">
        <v>25</v>
      </c>
      <c r="G20" s="61">
        <f t="shared" si="0"/>
        <v>37</v>
      </c>
      <c r="H20" s="73"/>
    </row>
    <row r="21" spans="1:9" ht="15" thickBot="1">
      <c r="A21" s="56" t="s">
        <v>26</v>
      </c>
      <c r="B21" s="38"/>
      <c r="C21" s="38"/>
      <c r="D21" s="38"/>
      <c r="E21" s="38"/>
      <c r="F21" s="38"/>
      <c r="G21" s="45">
        <f t="shared" si="0"/>
        <v>0</v>
      </c>
      <c r="H21" s="74"/>
    </row>
    <row r="22" spans="1:9">
      <c r="A22" s="58" t="s">
        <v>27</v>
      </c>
      <c r="B22" s="47">
        <v>21</v>
      </c>
      <c r="C22" s="47">
        <v>9</v>
      </c>
      <c r="D22" s="47">
        <v>16</v>
      </c>
      <c r="E22" s="47">
        <v>10</v>
      </c>
      <c r="F22" s="66">
        <v>5</v>
      </c>
      <c r="G22" s="60">
        <f t="shared" si="0"/>
        <v>61</v>
      </c>
      <c r="H22" s="75">
        <f>SUM(G22:G24)</f>
        <v>61</v>
      </c>
    </row>
    <row r="23" spans="1:9" ht="15" thickBot="1">
      <c r="A23" s="59" t="s">
        <v>28</v>
      </c>
      <c r="B23" s="51"/>
      <c r="C23" s="51"/>
      <c r="D23" s="51"/>
      <c r="E23" s="51"/>
      <c r="F23" s="51"/>
      <c r="G23" s="52">
        <f t="shared" si="0"/>
        <v>0</v>
      </c>
      <c r="H23" s="76"/>
    </row>
    <row r="24" spans="1:9" ht="15" thickBot="1">
      <c r="A24" s="15"/>
      <c r="B24" s="1"/>
      <c r="C24" s="1"/>
      <c r="D24" s="1"/>
      <c r="E24" s="1"/>
      <c r="F24" s="1"/>
      <c r="G24" s="77"/>
      <c r="H24" s="77"/>
    </row>
    <row r="25" spans="1:9" ht="15" thickBot="1">
      <c r="A25" s="26" t="s">
        <v>29</v>
      </c>
      <c r="B25" s="21">
        <f>SUM(B2:B23)</f>
        <v>70</v>
      </c>
      <c r="C25" s="22">
        <f>SUM(C2:C23)</f>
        <v>42</v>
      </c>
      <c r="D25" s="22">
        <f>SUM(D2:D23)</f>
        <v>98</v>
      </c>
      <c r="E25" s="23">
        <f>SUM(E2:E23)</f>
        <v>162</v>
      </c>
      <c r="F25" s="24">
        <f>SUM(F2:F23)</f>
        <v>231</v>
      </c>
      <c r="G25" s="16" t="s">
        <v>30</v>
      </c>
      <c r="H25" s="19">
        <f>SUM(G2:G23)</f>
        <v>603</v>
      </c>
    </row>
    <row r="26" spans="1:9" ht="15" thickBot="1">
      <c r="A26" s="25" t="s">
        <v>31</v>
      </c>
      <c r="B26" s="27">
        <f>AVERAGE(B2:B23)</f>
        <v>6.3636363636363633</v>
      </c>
      <c r="C26" s="28">
        <f>AVERAGE(C2:C23)</f>
        <v>3.8181818181818183</v>
      </c>
      <c r="D26" s="28">
        <f>AVERAGE(D2:D23)</f>
        <v>8.9090909090909083</v>
      </c>
      <c r="E26" s="29">
        <f>AVERAGE(E2:E23)</f>
        <v>14.727272727272727</v>
      </c>
      <c r="F26" s="30">
        <f>AVERAGE(F2:F23)</f>
        <v>21</v>
      </c>
      <c r="G26" s="17" t="s">
        <v>32</v>
      </c>
      <c r="H26" s="18">
        <f>SUM(B25*1,C25*2,D25*3,E25*4,F25*5)/H25</f>
        <v>3.7330016583747927</v>
      </c>
    </row>
    <row r="27" spans="1:9" ht="15" thickBot="1">
      <c r="G27" s="31" t="s">
        <v>33</v>
      </c>
      <c r="H27" s="32">
        <v>0</v>
      </c>
      <c r="I27" s="33" t="e">
        <f>_xlfn.CONCAT("", (H26-H27)/H27, "%")</f>
        <v>#DIV/0!</v>
      </c>
    </row>
  </sheetData>
  <mergeCells count="7">
    <mergeCell ref="H14:H17"/>
    <mergeCell ref="H18:H21"/>
    <mergeCell ref="H22:H23"/>
    <mergeCell ref="G24:H24"/>
    <mergeCell ref="H2:H5"/>
    <mergeCell ref="H6:H9"/>
    <mergeCell ref="H10:H13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ED636-DFFB-47A0-A7D4-134DE5A02BAB}">
  <dimension ref="A1:R27"/>
  <sheetViews>
    <sheetView zoomScale="80" zoomScaleNormal="80" workbookViewId="0">
      <selection activeCell="H18" sqref="H18:H21"/>
    </sheetView>
  </sheetViews>
  <sheetFormatPr defaultRowHeight="14.45"/>
  <cols>
    <col min="1" max="1" width="24.42578125" customWidth="1"/>
    <col min="2" max="2" width="4.140625" bestFit="1" customWidth="1"/>
    <col min="3" max="3" width="7" bestFit="1" customWidth="1"/>
    <col min="4" max="4" width="9.85546875" bestFit="1" customWidth="1"/>
    <col min="5" max="5" width="12.7109375" bestFit="1" customWidth="1"/>
    <col min="6" max="6" width="15.7109375" bestFit="1" customWidth="1"/>
    <col min="7" max="7" width="36.140625" customWidth="1"/>
    <col min="8" max="8" width="33.7109375" customWidth="1"/>
    <col min="9" max="9" width="26.85546875" bestFit="1" customWidth="1"/>
    <col min="10" max="10" width="27.7109375" bestFit="1" customWidth="1"/>
  </cols>
  <sheetData>
    <row r="1" spans="1:18" ht="15" thickBot="1">
      <c r="B1" s="4" t="s">
        <v>0</v>
      </c>
      <c r="C1" s="5" t="s">
        <v>1</v>
      </c>
      <c r="D1" s="6" t="s">
        <v>2</v>
      </c>
      <c r="E1" s="7" t="s">
        <v>3</v>
      </c>
      <c r="F1" s="8" t="s">
        <v>4</v>
      </c>
      <c r="G1" s="2" t="s">
        <v>5</v>
      </c>
      <c r="H1" s="3" t="s">
        <v>6</v>
      </c>
      <c r="N1" s="9">
        <v>8</v>
      </c>
      <c r="O1" s="9">
        <v>6</v>
      </c>
      <c r="P1" s="9">
        <v>18</v>
      </c>
      <c r="Q1" s="9">
        <v>30</v>
      </c>
      <c r="R1" s="9">
        <v>14</v>
      </c>
    </row>
    <row r="2" spans="1:18">
      <c r="A2" s="39" t="s">
        <v>7</v>
      </c>
      <c r="B2" s="9">
        <v>8</v>
      </c>
      <c r="C2" s="9">
        <v>6</v>
      </c>
      <c r="D2" s="9">
        <v>18</v>
      </c>
      <c r="E2" s="9">
        <v>30</v>
      </c>
      <c r="F2" s="68">
        <v>14</v>
      </c>
      <c r="G2" s="65">
        <f>SUM(B2:F2)</f>
        <v>76</v>
      </c>
      <c r="H2" s="72">
        <f>SUM(G2:G5)</f>
        <v>131</v>
      </c>
      <c r="N2" s="10">
        <v>1</v>
      </c>
      <c r="O2" s="10">
        <v>5</v>
      </c>
      <c r="P2" s="10">
        <v>1</v>
      </c>
      <c r="Q2" s="10">
        <v>9</v>
      </c>
      <c r="R2" s="10">
        <v>39</v>
      </c>
    </row>
    <row r="3" spans="1:18">
      <c r="A3" s="42" t="s">
        <v>8</v>
      </c>
      <c r="B3" s="34"/>
      <c r="C3" s="34"/>
      <c r="D3" s="34"/>
      <c r="E3" s="34"/>
      <c r="F3" s="34"/>
      <c r="G3" s="35">
        <f>SUM(B3:F3)</f>
        <v>0</v>
      </c>
      <c r="H3" s="73"/>
      <c r="N3" s="11">
        <v>3</v>
      </c>
      <c r="O3" s="11">
        <v>1</v>
      </c>
      <c r="P3" s="11">
        <v>15</v>
      </c>
      <c r="Q3" s="11">
        <v>24</v>
      </c>
      <c r="R3" s="11">
        <v>34</v>
      </c>
    </row>
    <row r="4" spans="1:18">
      <c r="A4" s="42" t="s">
        <v>9</v>
      </c>
      <c r="B4" s="34">
        <v>1</v>
      </c>
      <c r="C4" s="34">
        <v>5</v>
      </c>
      <c r="D4" s="34">
        <v>1</v>
      </c>
      <c r="E4" s="34">
        <v>9</v>
      </c>
      <c r="F4" s="61">
        <v>39</v>
      </c>
      <c r="G4" s="61">
        <f t="shared" ref="G4:G23" si="0">SUM(B4:F4)</f>
        <v>55</v>
      </c>
      <c r="H4" s="73"/>
      <c r="N4" s="12">
        <v>0</v>
      </c>
      <c r="O4" s="12">
        <v>1</v>
      </c>
      <c r="P4" s="12">
        <v>12</v>
      </c>
      <c r="Q4" s="12">
        <v>21</v>
      </c>
      <c r="R4" s="12">
        <v>34</v>
      </c>
    </row>
    <row r="5" spans="1:18" ht="15" thickBot="1">
      <c r="A5" s="43" t="s">
        <v>10</v>
      </c>
      <c r="B5" s="44"/>
      <c r="C5" s="44"/>
      <c r="D5" s="44"/>
      <c r="E5" s="44"/>
      <c r="F5" s="44"/>
      <c r="G5" s="45">
        <f t="shared" si="0"/>
        <v>0</v>
      </c>
      <c r="H5" s="74"/>
      <c r="N5" s="13">
        <v>26</v>
      </c>
      <c r="O5" s="13">
        <v>13</v>
      </c>
      <c r="P5" s="13">
        <v>24</v>
      </c>
      <c r="Q5" s="13">
        <v>9</v>
      </c>
      <c r="R5" s="13">
        <v>4</v>
      </c>
    </row>
    <row r="6" spans="1:18">
      <c r="A6" s="46" t="s">
        <v>11</v>
      </c>
      <c r="B6" s="11">
        <v>3</v>
      </c>
      <c r="C6" s="11">
        <v>1</v>
      </c>
      <c r="D6" s="11">
        <v>15</v>
      </c>
      <c r="E6" s="11">
        <v>24</v>
      </c>
      <c r="F6" s="11">
        <v>34</v>
      </c>
      <c r="G6" s="48">
        <f t="shared" si="0"/>
        <v>77</v>
      </c>
      <c r="H6" s="69">
        <f>SUM(G6:G9)</f>
        <v>145</v>
      </c>
      <c r="N6" s="14">
        <v>2</v>
      </c>
      <c r="O6" s="14">
        <v>1</v>
      </c>
      <c r="P6" s="14">
        <v>3</v>
      </c>
      <c r="Q6" s="14">
        <v>12</v>
      </c>
      <c r="R6" s="14">
        <v>29</v>
      </c>
    </row>
    <row r="7" spans="1:18">
      <c r="A7" s="49" t="s">
        <v>12</v>
      </c>
      <c r="B7" s="36"/>
      <c r="C7" s="36"/>
      <c r="D7" s="36"/>
      <c r="E7" s="36"/>
      <c r="F7" s="36"/>
      <c r="G7" s="37">
        <f t="shared" si="0"/>
        <v>0</v>
      </c>
      <c r="H7" s="70"/>
      <c r="N7" s="11">
        <v>3</v>
      </c>
      <c r="O7" s="11">
        <v>1</v>
      </c>
      <c r="P7" s="11">
        <v>13</v>
      </c>
      <c r="Q7" s="11">
        <v>23</v>
      </c>
      <c r="R7" s="11">
        <v>18</v>
      </c>
    </row>
    <row r="8" spans="1:18">
      <c r="A8" s="49" t="s">
        <v>13</v>
      </c>
      <c r="B8" s="36">
        <v>0</v>
      </c>
      <c r="C8" s="36">
        <v>1</v>
      </c>
      <c r="D8" s="36">
        <v>12</v>
      </c>
      <c r="E8" s="36">
        <v>21</v>
      </c>
      <c r="F8" s="64">
        <v>34</v>
      </c>
      <c r="G8" s="62">
        <f t="shared" si="0"/>
        <v>68</v>
      </c>
      <c r="H8" s="70"/>
      <c r="N8" s="12">
        <v>0</v>
      </c>
      <c r="O8" s="12">
        <v>4</v>
      </c>
      <c r="P8" s="12">
        <v>6</v>
      </c>
      <c r="Q8" s="12">
        <v>7</v>
      </c>
      <c r="R8" s="12">
        <v>20</v>
      </c>
    </row>
    <row r="9" spans="1:18" ht="15" thickBot="1">
      <c r="A9" s="50" t="s">
        <v>14</v>
      </c>
      <c r="B9" s="51"/>
      <c r="C9" s="51"/>
      <c r="D9" s="51"/>
      <c r="E9" s="51"/>
      <c r="F9" s="51"/>
      <c r="G9" s="52">
        <f t="shared" si="0"/>
        <v>0</v>
      </c>
      <c r="H9" s="71"/>
      <c r="N9" s="13">
        <v>1</v>
      </c>
      <c r="O9" s="13">
        <v>3</v>
      </c>
      <c r="P9" s="13">
        <v>13</v>
      </c>
      <c r="Q9" s="13">
        <v>20</v>
      </c>
      <c r="R9" s="13">
        <v>2</v>
      </c>
    </row>
    <row r="10" spans="1:18">
      <c r="A10" s="53" t="s">
        <v>15</v>
      </c>
      <c r="B10" s="13">
        <v>26</v>
      </c>
      <c r="C10" s="13">
        <v>13</v>
      </c>
      <c r="D10" s="13">
        <v>24</v>
      </c>
      <c r="E10" s="13">
        <v>9</v>
      </c>
      <c r="F10" s="13">
        <v>4</v>
      </c>
      <c r="G10" s="41">
        <f t="shared" si="0"/>
        <v>76</v>
      </c>
      <c r="H10" s="72">
        <f>SUM(G10:G13)</f>
        <v>123</v>
      </c>
      <c r="N10" s="14">
        <v>1</v>
      </c>
      <c r="O10" s="14">
        <v>0</v>
      </c>
      <c r="P10" s="14">
        <v>6</v>
      </c>
      <c r="Q10" s="14">
        <v>5</v>
      </c>
      <c r="R10" s="14">
        <v>12</v>
      </c>
    </row>
    <row r="11" spans="1:18">
      <c r="A11" s="55" t="s">
        <v>16</v>
      </c>
      <c r="B11" s="38"/>
      <c r="C11" s="38"/>
      <c r="D11" s="38"/>
      <c r="E11" s="38"/>
      <c r="F11" s="38"/>
      <c r="G11" s="35">
        <f t="shared" si="0"/>
        <v>0</v>
      </c>
      <c r="H11" s="73"/>
      <c r="N11" s="20">
        <v>0</v>
      </c>
      <c r="O11" s="20">
        <v>0</v>
      </c>
      <c r="P11" s="20">
        <v>4</v>
      </c>
      <c r="Q11" s="20">
        <v>4</v>
      </c>
      <c r="R11" s="20">
        <v>23</v>
      </c>
    </row>
    <row r="12" spans="1:18">
      <c r="A12" s="55" t="s">
        <v>17</v>
      </c>
      <c r="B12" s="38">
        <v>2</v>
      </c>
      <c r="C12" s="38">
        <v>1</v>
      </c>
      <c r="D12" s="38">
        <v>3</v>
      </c>
      <c r="E12" s="38">
        <v>12</v>
      </c>
      <c r="F12" s="63">
        <v>29</v>
      </c>
      <c r="G12" s="61">
        <f t="shared" si="0"/>
        <v>47</v>
      </c>
      <c r="H12" s="73"/>
    </row>
    <row r="13" spans="1:18" ht="15" thickBot="1">
      <c r="A13" s="56" t="s">
        <v>18</v>
      </c>
      <c r="B13" s="57"/>
      <c r="C13" s="57"/>
      <c r="D13" s="57"/>
      <c r="E13" s="57"/>
      <c r="F13" s="57"/>
      <c r="G13" s="45">
        <f t="shared" si="0"/>
        <v>0</v>
      </c>
      <c r="H13" s="74"/>
    </row>
    <row r="14" spans="1:18">
      <c r="A14" s="46" t="s">
        <v>19</v>
      </c>
      <c r="B14" s="11">
        <v>3</v>
      </c>
      <c r="C14" s="11">
        <v>1</v>
      </c>
      <c r="D14" s="11">
        <v>13</v>
      </c>
      <c r="E14" s="11">
        <v>23</v>
      </c>
      <c r="F14" s="11">
        <v>18</v>
      </c>
      <c r="G14" s="48">
        <f t="shared" si="0"/>
        <v>58</v>
      </c>
      <c r="H14" s="69">
        <f>SUM(G14:G17)</f>
        <v>95</v>
      </c>
    </row>
    <row r="15" spans="1:18" ht="15" thickBot="1">
      <c r="A15" s="49" t="s">
        <v>20</v>
      </c>
      <c r="B15" s="36"/>
      <c r="C15" s="36"/>
      <c r="D15" s="36"/>
      <c r="E15" s="36"/>
      <c r="F15" s="36"/>
      <c r="G15" s="37">
        <f t="shared" si="0"/>
        <v>0</v>
      </c>
      <c r="H15" s="70"/>
    </row>
    <row r="16" spans="1:18" ht="15" thickBot="1">
      <c r="A16" s="49" t="s">
        <v>21</v>
      </c>
      <c r="B16" s="36">
        <v>0</v>
      </c>
      <c r="C16" s="36">
        <v>4</v>
      </c>
      <c r="D16" s="36">
        <v>6</v>
      </c>
      <c r="E16" s="36">
        <v>7</v>
      </c>
      <c r="F16" s="64">
        <v>20</v>
      </c>
      <c r="G16" s="62">
        <f t="shared" si="0"/>
        <v>37</v>
      </c>
      <c r="H16" s="70"/>
      <c r="J16" s="67"/>
    </row>
    <row r="17" spans="1:9" ht="15" thickBot="1">
      <c r="A17" s="50" t="s">
        <v>22</v>
      </c>
      <c r="B17" s="51"/>
      <c r="C17" s="51"/>
      <c r="D17" s="51"/>
      <c r="E17" s="51"/>
      <c r="F17" s="51"/>
      <c r="G17" s="52">
        <f t="shared" si="0"/>
        <v>0</v>
      </c>
      <c r="H17" s="71"/>
    </row>
    <row r="18" spans="1:9">
      <c r="A18" s="53" t="s">
        <v>23</v>
      </c>
      <c r="B18" s="13">
        <v>1</v>
      </c>
      <c r="C18" s="13">
        <v>3</v>
      </c>
      <c r="D18" s="13">
        <v>13</v>
      </c>
      <c r="E18" s="13">
        <v>20</v>
      </c>
      <c r="F18" s="13">
        <v>2</v>
      </c>
      <c r="G18" s="41">
        <f t="shared" si="0"/>
        <v>39</v>
      </c>
      <c r="H18" s="72">
        <f>SUM(G18:G21)</f>
        <v>63</v>
      </c>
    </row>
    <row r="19" spans="1:9">
      <c r="A19" s="55" t="s">
        <v>24</v>
      </c>
      <c r="B19" s="38"/>
      <c r="C19" s="38"/>
      <c r="D19" s="38"/>
      <c r="E19" s="38"/>
      <c r="F19" s="38"/>
      <c r="G19" s="35">
        <f t="shared" si="0"/>
        <v>0</v>
      </c>
      <c r="H19" s="73"/>
    </row>
    <row r="20" spans="1:9">
      <c r="A20" s="55" t="s">
        <v>25</v>
      </c>
      <c r="B20" s="38">
        <v>1</v>
      </c>
      <c r="C20" s="38">
        <v>0</v>
      </c>
      <c r="D20" s="38">
        <v>6</v>
      </c>
      <c r="E20" s="38">
        <v>5</v>
      </c>
      <c r="F20" s="63">
        <v>12</v>
      </c>
      <c r="G20" s="61">
        <f t="shared" si="0"/>
        <v>24</v>
      </c>
      <c r="H20" s="73"/>
    </row>
    <row r="21" spans="1:9" ht="15" thickBot="1">
      <c r="A21" s="56" t="s">
        <v>26</v>
      </c>
      <c r="B21" s="38"/>
      <c r="C21" s="38"/>
      <c r="D21" s="38"/>
      <c r="E21" s="38"/>
      <c r="F21" s="38"/>
      <c r="G21" s="45">
        <f t="shared" si="0"/>
        <v>0</v>
      </c>
      <c r="H21" s="74"/>
    </row>
    <row r="22" spans="1:9">
      <c r="A22" s="58" t="s">
        <v>27</v>
      </c>
      <c r="B22" s="47">
        <v>0</v>
      </c>
      <c r="C22" s="47">
        <v>0</v>
      </c>
      <c r="D22" s="47">
        <v>4</v>
      </c>
      <c r="E22" s="47">
        <v>4</v>
      </c>
      <c r="F22" s="66">
        <v>23</v>
      </c>
      <c r="G22" s="60">
        <f t="shared" si="0"/>
        <v>31</v>
      </c>
      <c r="H22" s="75">
        <f>SUM(G22:G24)</f>
        <v>31</v>
      </c>
    </row>
    <row r="23" spans="1:9" ht="15" thickBot="1">
      <c r="A23" s="59" t="s">
        <v>28</v>
      </c>
      <c r="B23" s="51"/>
      <c r="C23" s="51"/>
      <c r="D23" s="51"/>
      <c r="E23" s="51"/>
      <c r="F23" s="51"/>
      <c r="G23" s="52">
        <f t="shared" si="0"/>
        <v>0</v>
      </c>
      <c r="H23" s="76"/>
    </row>
    <row r="24" spans="1:9" ht="15" thickBot="1">
      <c r="A24" s="15"/>
      <c r="B24" s="1"/>
      <c r="C24" s="1"/>
      <c r="D24" s="1"/>
      <c r="E24" s="1"/>
      <c r="F24" s="1"/>
      <c r="G24" s="77"/>
      <c r="H24" s="77"/>
    </row>
    <row r="25" spans="1:9" ht="15" thickBot="1">
      <c r="A25" s="26" t="s">
        <v>29</v>
      </c>
      <c r="B25" s="21">
        <f>SUM(B2:B23)</f>
        <v>45</v>
      </c>
      <c r="C25" s="22">
        <f>SUM(C2:C23)</f>
        <v>35</v>
      </c>
      <c r="D25" s="22">
        <f>SUM(D2:D23)</f>
        <v>115</v>
      </c>
      <c r="E25" s="23">
        <f>SUM(E2:E23)</f>
        <v>164</v>
      </c>
      <c r="F25" s="24">
        <f>SUM(F2:F23)</f>
        <v>229</v>
      </c>
      <c r="G25" s="16" t="s">
        <v>30</v>
      </c>
      <c r="H25" s="19">
        <f>SUM(G2:G23)</f>
        <v>588</v>
      </c>
    </row>
    <row r="26" spans="1:9" ht="15" thickBot="1">
      <c r="A26" s="25" t="s">
        <v>31</v>
      </c>
      <c r="B26" s="27">
        <f>AVERAGE(B2:B23)</f>
        <v>4.0909090909090908</v>
      </c>
      <c r="C26" s="28">
        <f>AVERAGE(C2:C23)</f>
        <v>3.1818181818181817</v>
      </c>
      <c r="D26" s="28">
        <f>AVERAGE(D2:D23)</f>
        <v>10.454545454545455</v>
      </c>
      <c r="E26" s="29">
        <f>AVERAGE(E2:E23)</f>
        <v>14.909090909090908</v>
      </c>
      <c r="F26" s="30">
        <f>AVERAGE(F2:F23)</f>
        <v>20.818181818181817</v>
      </c>
      <c r="G26" s="17" t="s">
        <v>32</v>
      </c>
      <c r="H26" s="18">
        <f>SUM(B25*1,C25*2,D25*3,E25*4,F25*5)/H25</f>
        <v>3.8452380952380953</v>
      </c>
    </row>
    <row r="27" spans="1:9" ht="15" thickBot="1">
      <c r="G27" s="31" t="s">
        <v>33</v>
      </c>
      <c r="H27" s="32">
        <f>'SEMANA 14'!H26</f>
        <v>3.7330016583747927</v>
      </c>
      <c r="I27" s="33" t="str">
        <f>_xlfn.CONCAT("", (H26-H27)/H27, "%")</f>
        <v>0,0300660024116266%</v>
      </c>
    </row>
  </sheetData>
  <mergeCells count="7">
    <mergeCell ref="H14:H17"/>
    <mergeCell ref="H18:H21"/>
    <mergeCell ref="H22:H23"/>
    <mergeCell ref="G24:H24"/>
    <mergeCell ref="H2:H5"/>
    <mergeCell ref="H6:H9"/>
    <mergeCell ref="H10:H13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1CAA7-697D-4258-A517-E323CFA52220}">
  <dimension ref="A1:R27"/>
  <sheetViews>
    <sheetView zoomScale="80" zoomScaleNormal="80" workbookViewId="0">
      <selection activeCell="H18" sqref="H18:H21"/>
    </sheetView>
  </sheetViews>
  <sheetFormatPr defaultRowHeight="14.45"/>
  <cols>
    <col min="1" max="1" width="24.42578125" customWidth="1"/>
    <col min="2" max="2" width="4.140625" bestFit="1" customWidth="1"/>
    <col min="3" max="3" width="7" bestFit="1" customWidth="1"/>
    <col min="4" max="4" width="9.85546875" bestFit="1" customWidth="1"/>
    <col min="5" max="5" width="12.7109375" bestFit="1" customWidth="1"/>
    <col min="6" max="6" width="15.7109375" bestFit="1" customWidth="1"/>
    <col min="7" max="7" width="34.28515625" customWidth="1"/>
    <col min="8" max="8" width="33.7109375" customWidth="1"/>
    <col min="9" max="9" width="26.85546875" bestFit="1" customWidth="1"/>
    <col min="10" max="10" width="27.7109375" bestFit="1" customWidth="1"/>
  </cols>
  <sheetData>
    <row r="1" spans="1:18" ht="15" thickBot="1">
      <c r="B1" s="4" t="s">
        <v>0</v>
      </c>
      <c r="C1" s="5" t="s">
        <v>1</v>
      </c>
      <c r="D1" s="6" t="s">
        <v>2</v>
      </c>
      <c r="E1" s="7" t="s">
        <v>3</v>
      </c>
      <c r="F1" s="8" t="s">
        <v>4</v>
      </c>
      <c r="G1" s="2" t="s">
        <v>5</v>
      </c>
      <c r="H1" s="3" t="s">
        <v>6</v>
      </c>
      <c r="N1" s="9">
        <v>3</v>
      </c>
      <c r="O1" s="9">
        <v>0</v>
      </c>
      <c r="P1" s="9">
        <v>16</v>
      </c>
      <c r="Q1" s="9">
        <v>33</v>
      </c>
      <c r="R1" s="9">
        <v>19</v>
      </c>
    </row>
    <row r="2" spans="1:18">
      <c r="A2" s="39" t="s">
        <v>7</v>
      </c>
      <c r="B2" s="9">
        <v>3</v>
      </c>
      <c r="C2" s="9">
        <v>0</v>
      </c>
      <c r="D2" s="9">
        <v>16</v>
      </c>
      <c r="E2" s="9">
        <v>33</v>
      </c>
      <c r="F2" s="68">
        <v>19</v>
      </c>
      <c r="G2" s="65">
        <f>SUM(B2:F2)</f>
        <v>71</v>
      </c>
      <c r="H2" s="72">
        <f>SUM(G2:G5)</f>
        <v>130</v>
      </c>
      <c r="N2" s="10">
        <v>0</v>
      </c>
      <c r="O2" s="10">
        <v>1</v>
      </c>
      <c r="P2" s="10">
        <v>2</v>
      </c>
      <c r="Q2" s="10">
        <v>17</v>
      </c>
      <c r="R2" s="10">
        <v>39</v>
      </c>
    </row>
    <row r="3" spans="1:18">
      <c r="A3" s="42" t="s">
        <v>8</v>
      </c>
      <c r="B3" s="34"/>
      <c r="C3" s="34"/>
      <c r="D3" s="34"/>
      <c r="E3" s="34"/>
      <c r="F3" s="34"/>
      <c r="G3" s="35">
        <f>SUM(B3:F3)</f>
        <v>0</v>
      </c>
      <c r="H3" s="73"/>
      <c r="N3" s="11">
        <v>12</v>
      </c>
      <c r="O3" s="11">
        <v>9</v>
      </c>
      <c r="P3" s="11">
        <v>35</v>
      </c>
      <c r="Q3" s="11">
        <v>13</v>
      </c>
      <c r="R3" s="11">
        <v>8</v>
      </c>
    </row>
    <row r="4" spans="1:18">
      <c r="A4" s="42" t="s">
        <v>9</v>
      </c>
      <c r="B4" s="34">
        <v>0</v>
      </c>
      <c r="C4" s="34">
        <v>1</v>
      </c>
      <c r="D4" s="34">
        <v>2</v>
      </c>
      <c r="E4" s="34">
        <v>17</v>
      </c>
      <c r="F4" s="61">
        <v>39</v>
      </c>
      <c r="G4" s="61">
        <f t="shared" ref="G4:G23" si="0">SUM(B4:F4)</f>
        <v>59</v>
      </c>
      <c r="H4" s="73"/>
      <c r="N4" s="12">
        <v>1</v>
      </c>
      <c r="O4" s="12">
        <v>0</v>
      </c>
      <c r="P4" s="12">
        <v>0</v>
      </c>
      <c r="Q4" s="12">
        <v>15</v>
      </c>
      <c r="R4" s="12">
        <v>35</v>
      </c>
    </row>
    <row r="5" spans="1:18" ht="15" thickBot="1">
      <c r="A5" s="43" t="s">
        <v>10</v>
      </c>
      <c r="B5" s="44"/>
      <c r="C5" s="44"/>
      <c r="D5" s="44"/>
      <c r="E5" s="44"/>
      <c r="F5" s="44"/>
      <c r="G5" s="45">
        <f t="shared" si="0"/>
        <v>0</v>
      </c>
      <c r="H5" s="74"/>
      <c r="N5" s="13">
        <v>16</v>
      </c>
      <c r="O5" s="13">
        <v>4</v>
      </c>
      <c r="P5" s="13">
        <v>14</v>
      </c>
      <c r="Q5" s="13">
        <v>11</v>
      </c>
      <c r="R5" s="13">
        <v>29</v>
      </c>
    </row>
    <row r="6" spans="1:18">
      <c r="A6" s="46" t="s">
        <v>11</v>
      </c>
      <c r="B6" s="11">
        <v>12</v>
      </c>
      <c r="C6" s="11">
        <v>9</v>
      </c>
      <c r="D6" s="11">
        <v>35</v>
      </c>
      <c r="E6" s="11">
        <v>13</v>
      </c>
      <c r="F6" s="11">
        <v>8</v>
      </c>
      <c r="G6" s="48">
        <f t="shared" si="0"/>
        <v>77</v>
      </c>
      <c r="H6" s="69">
        <f>SUM(G6:G9)</f>
        <v>128</v>
      </c>
      <c r="N6" s="14">
        <v>0</v>
      </c>
      <c r="O6" s="14">
        <v>0</v>
      </c>
      <c r="P6" s="14">
        <v>1</v>
      </c>
      <c r="Q6" s="14">
        <v>0</v>
      </c>
      <c r="R6" s="14">
        <v>72</v>
      </c>
    </row>
    <row r="7" spans="1:18">
      <c r="A7" s="49" t="s">
        <v>12</v>
      </c>
      <c r="B7" s="36"/>
      <c r="C7" s="36"/>
      <c r="D7" s="36"/>
      <c r="E7" s="36"/>
      <c r="F7" s="36"/>
      <c r="G7" s="37">
        <f t="shared" si="0"/>
        <v>0</v>
      </c>
      <c r="H7" s="70"/>
      <c r="N7" s="11">
        <v>0</v>
      </c>
      <c r="O7" s="11">
        <v>3</v>
      </c>
      <c r="P7" s="11">
        <v>5</v>
      </c>
      <c r="Q7" s="11">
        <v>10</v>
      </c>
      <c r="R7" s="11">
        <v>55</v>
      </c>
    </row>
    <row r="8" spans="1:18">
      <c r="A8" s="49" t="s">
        <v>13</v>
      </c>
      <c r="B8" s="36">
        <v>1</v>
      </c>
      <c r="C8" s="36">
        <v>0</v>
      </c>
      <c r="D8" s="36">
        <v>0</v>
      </c>
      <c r="E8" s="36">
        <v>15</v>
      </c>
      <c r="F8" s="64">
        <v>35</v>
      </c>
      <c r="G8" s="62">
        <f t="shared" si="0"/>
        <v>51</v>
      </c>
      <c r="H8" s="70"/>
      <c r="N8" s="12">
        <v>0</v>
      </c>
      <c r="O8" s="12">
        <v>0</v>
      </c>
      <c r="P8" s="12">
        <v>0</v>
      </c>
      <c r="Q8" s="12">
        <v>5</v>
      </c>
      <c r="R8" s="12">
        <v>20</v>
      </c>
    </row>
    <row r="9" spans="1:18" ht="15" thickBot="1">
      <c r="A9" s="50" t="s">
        <v>14</v>
      </c>
      <c r="B9" s="51"/>
      <c r="C9" s="51"/>
      <c r="D9" s="51"/>
      <c r="E9" s="51"/>
      <c r="F9" s="51"/>
      <c r="G9" s="52">
        <f t="shared" si="0"/>
        <v>0</v>
      </c>
      <c r="H9" s="71"/>
      <c r="N9" s="13">
        <v>1</v>
      </c>
      <c r="O9" s="13">
        <v>2</v>
      </c>
      <c r="P9" s="13">
        <v>2</v>
      </c>
      <c r="Q9" s="13">
        <v>13</v>
      </c>
      <c r="R9" s="13">
        <v>20</v>
      </c>
    </row>
    <row r="10" spans="1:18">
      <c r="A10" s="53" t="s">
        <v>15</v>
      </c>
      <c r="B10" s="13">
        <v>16</v>
      </c>
      <c r="C10" s="13">
        <v>4</v>
      </c>
      <c r="D10" s="13">
        <v>14</v>
      </c>
      <c r="E10" s="13">
        <v>11</v>
      </c>
      <c r="F10" s="13">
        <v>29</v>
      </c>
      <c r="G10" s="41">
        <f t="shared" si="0"/>
        <v>74</v>
      </c>
      <c r="H10" s="72">
        <f>SUM(G10:G13)</f>
        <v>147</v>
      </c>
      <c r="N10" s="14">
        <v>10</v>
      </c>
      <c r="O10" s="14">
        <v>2</v>
      </c>
      <c r="P10" s="14">
        <v>3</v>
      </c>
      <c r="Q10" s="14">
        <v>8</v>
      </c>
      <c r="R10" s="14">
        <v>10</v>
      </c>
    </row>
    <row r="11" spans="1:18">
      <c r="A11" s="55" t="s">
        <v>16</v>
      </c>
      <c r="B11" s="38"/>
      <c r="C11" s="38"/>
      <c r="D11" s="38"/>
      <c r="E11" s="38"/>
      <c r="F11" s="38"/>
      <c r="G11" s="35">
        <f t="shared" si="0"/>
        <v>0</v>
      </c>
      <c r="H11" s="73"/>
      <c r="N11" s="20">
        <v>4</v>
      </c>
      <c r="O11" s="20">
        <v>2</v>
      </c>
      <c r="P11" s="20">
        <v>3</v>
      </c>
      <c r="Q11" s="20">
        <v>9</v>
      </c>
      <c r="R11" s="20">
        <v>17</v>
      </c>
    </row>
    <row r="12" spans="1:18">
      <c r="A12" s="55" t="s">
        <v>17</v>
      </c>
      <c r="B12" s="38">
        <v>0</v>
      </c>
      <c r="C12" s="38">
        <v>0</v>
      </c>
      <c r="D12" s="38">
        <v>1</v>
      </c>
      <c r="E12" s="38">
        <v>0</v>
      </c>
      <c r="F12" s="63">
        <v>72</v>
      </c>
      <c r="G12" s="61">
        <f t="shared" si="0"/>
        <v>73</v>
      </c>
      <c r="H12" s="73"/>
    </row>
    <row r="13" spans="1:18" ht="15" thickBot="1">
      <c r="A13" s="56" t="s">
        <v>18</v>
      </c>
      <c r="B13" s="57"/>
      <c r="C13" s="57"/>
      <c r="D13" s="57"/>
      <c r="E13" s="57"/>
      <c r="F13" s="57"/>
      <c r="G13" s="45">
        <f t="shared" si="0"/>
        <v>0</v>
      </c>
      <c r="H13" s="74"/>
    </row>
    <row r="14" spans="1:18">
      <c r="A14" s="46" t="s">
        <v>19</v>
      </c>
      <c r="B14" s="11">
        <v>0</v>
      </c>
      <c r="C14" s="11">
        <v>3</v>
      </c>
      <c r="D14" s="11">
        <v>5</v>
      </c>
      <c r="E14" s="11">
        <v>10</v>
      </c>
      <c r="F14" s="11">
        <v>55</v>
      </c>
      <c r="G14" s="48">
        <f t="shared" si="0"/>
        <v>73</v>
      </c>
      <c r="H14" s="69">
        <f>SUM(G14:G17)</f>
        <v>98</v>
      </c>
    </row>
    <row r="15" spans="1:18" ht="15" thickBot="1">
      <c r="A15" s="49" t="s">
        <v>20</v>
      </c>
      <c r="B15" s="36"/>
      <c r="C15" s="36"/>
      <c r="D15" s="36"/>
      <c r="E15" s="36"/>
      <c r="F15" s="36"/>
      <c r="G15" s="37">
        <f t="shared" si="0"/>
        <v>0</v>
      </c>
      <c r="H15" s="70"/>
    </row>
    <row r="16" spans="1:18" ht="15" thickBot="1">
      <c r="A16" s="49" t="s">
        <v>21</v>
      </c>
      <c r="B16" s="36">
        <v>0</v>
      </c>
      <c r="C16" s="36">
        <v>0</v>
      </c>
      <c r="D16" s="36">
        <v>0</v>
      </c>
      <c r="E16" s="36">
        <v>5</v>
      </c>
      <c r="F16" s="64">
        <v>20</v>
      </c>
      <c r="G16" s="62">
        <f t="shared" si="0"/>
        <v>25</v>
      </c>
      <c r="H16" s="70"/>
      <c r="J16" s="33"/>
    </row>
    <row r="17" spans="1:9" ht="15" thickBot="1">
      <c r="A17" s="50" t="s">
        <v>22</v>
      </c>
      <c r="B17" s="51"/>
      <c r="C17" s="51"/>
      <c r="D17" s="51"/>
      <c r="E17" s="51"/>
      <c r="F17" s="51"/>
      <c r="G17" s="52">
        <f t="shared" si="0"/>
        <v>0</v>
      </c>
      <c r="H17" s="71"/>
    </row>
    <row r="18" spans="1:9">
      <c r="A18" s="53" t="s">
        <v>23</v>
      </c>
      <c r="B18" s="13">
        <v>1</v>
      </c>
      <c r="C18" s="13">
        <v>2</v>
      </c>
      <c r="D18" s="13">
        <v>2</v>
      </c>
      <c r="E18" s="13">
        <v>13</v>
      </c>
      <c r="F18" s="13">
        <v>20</v>
      </c>
      <c r="G18" s="41">
        <f t="shared" si="0"/>
        <v>38</v>
      </c>
      <c r="H18" s="72">
        <f>SUM(G18:G21)</f>
        <v>71</v>
      </c>
    </row>
    <row r="19" spans="1:9">
      <c r="A19" s="55" t="s">
        <v>24</v>
      </c>
      <c r="B19" s="38"/>
      <c r="C19" s="38"/>
      <c r="D19" s="38"/>
      <c r="E19" s="38"/>
      <c r="F19" s="38"/>
      <c r="G19" s="35">
        <f t="shared" si="0"/>
        <v>0</v>
      </c>
      <c r="H19" s="73"/>
    </row>
    <row r="20" spans="1:9">
      <c r="A20" s="55" t="s">
        <v>25</v>
      </c>
      <c r="B20" s="38">
        <v>10</v>
      </c>
      <c r="C20" s="38">
        <v>2</v>
      </c>
      <c r="D20" s="38">
        <v>3</v>
      </c>
      <c r="E20" s="38">
        <v>8</v>
      </c>
      <c r="F20" s="63">
        <v>10</v>
      </c>
      <c r="G20" s="61">
        <f t="shared" si="0"/>
        <v>33</v>
      </c>
      <c r="H20" s="73"/>
    </row>
    <row r="21" spans="1:9" ht="15" thickBot="1">
      <c r="A21" s="56" t="s">
        <v>26</v>
      </c>
      <c r="B21" s="38"/>
      <c r="C21" s="38"/>
      <c r="D21" s="38"/>
      <c r="E21" s="38"/>
      <c r="F21" s="38"/>
      <c r="G21" s="45">
        <f t="shared" si="0"/>
        <v>0</v>
      </c>
      <c r="H21" s="74"/>
    </row>
    <row r="22" spans="1:9">
      <c r="A22" s="58" t="s">
        <v>27</v>
      </c>
      <c r="B22" s="47">
        <v>4</v>
      </c>
      <c r="C22" s="47">
        <v>2</v>
      </c>
      <c r="D22" s="47">
        <v>3</v>
      </c>
      <c r="E22" s="47">
        <v>9</v>
      </c>
      <c r="F22" s="66">
        <v>17</v>
      </c>
      <c r="G22" s="60">
        <f t="shared" si="0"/>
        <v>35</v>
      </c>
      <c r="H22" s="75">
        <f>SUM(G22:G24)</f>
        <v>35</v>
      </c>
    </row>
    <row r="23" spans="1:9" ht="15" thickBot="1">
      <c r="A23" s="59" t="s">
        <v>28</v>
      </c>
      <c r="B23" s="51"/>
      <c r="C23" s="51"/>
      <c r="D23" s="51"/>
      <c r="E23" s="51"/>
      <c r="F23" s="51"/>
      <c r="G23" s="52">
        <f t="shared" si="0"/>
        <v>0</v>
      </c>
      <c r="H23" s="76"/>
    </row>
    <row r="24" spans="1:9" ht="15" thickBot="1">
      <c r="A24" s="15"/>
      <c r="B24" s="1"/>
      <c r="C24" s="1"/>
      <c r="D24" s="1"/>
      <c r="E24" s="1"/>
      <c r="F24" s="1"/>
      <c r="G24" s="77"/>
      <c r="H24" s="77"/>
    </row>
    <row r="25" spans="1:9" ht="15" thickBot="1">
      <c r="A25" s="26" t="s">
        <v>29</v>
      </c>
      <c r="B25" s="21">
        <f>SUM(B2:B23)</f>
        <v>47</v>
      </c>
      <c r="C25" s="22">
        <f>SUM(C2:C23)</f>
        <v>23</v>
      </c>
      <c r="D25" s="22">
        <f>SUM(D2:D23)</f>
        <v>81</v>
      </c>
      <c r="E25" s="23">
        <f>SUM(E2:E23)</f>
        <v>134</v>
      </c>
      <c r="F25" s="24">
        <f>SUM(F2:F23)</f>
        <v>324</v>
      </c>
      <c r="G25" s="16" t="s">
        <v>30</v>
      </c>
      <c r="H25" s="19">
        <f>SUM(G2:G23)</f>
        <v>609</v>
      </c>
    </row>
    <row r="26" spans="1:9" ht="15" thickBot="1">
      <c r="A26" s="25" t="s">
        <v>31</v>
      </c>
      <c r="B26" s="27">
        <f>AVERAGE(B2:B23)</f>
        <v>4.2727272727272725</v>
      </c>
      <c r="C26" s="28">
        <f>AVERAGE(C2:C23)</f>
        <v>2.0909090909090908</v>
      </c>
      <c r="D26" s="28">
        <f>AVERAGE(D2:D23)</f>
        <v>7.3636363636363633</v>
      </c>
      <c r="E26" s="29">
        <f>AVERAGE(E2:E23)</f>
        <v>12.181818181818182</v>
      </c>
      <c r="F26" s="30">
        <f>AVERAGE(F2:F23)</f>
        <v>29.454545454545453</v>
      </c>
      <c r="G26" s="17" t="s">
        <v>32</v>
      </c>
      <c r="H26" s="18">
        <f>SUM(B25*1,C25*2,D25*3,E25*4,F25*5)/H25</f>
        <v>4.0919540229885056</v>
      </c>
    </row>
    <row r="27" spans="1:9" ht="15" thickBot="1">
      <c r="G27" s="31" t="s">
        <v>33</v>
      </c>
      <c r="H27" s="32">
        <f>'SEMANA 15'!H26</f>
        <v>3.8452380952380953</v>
      </c>
      <c r="I27" s="33" t="str">
        <f>_xlfn.CONCAT("", (H26-H27)/H27, "%")</f>
        <v>0,0641614177431408%</v>
      </c>
    </row>
  </sheetData>
  <mergeCells count="7">
    <mergeCell ref="H14:H17"/>
    <mergeCell ref="H18:H21"/>
    <mergeCell ref="H22:H23"/>
    <mergeCell ref="G24:H24"/>
    <mergeCell ref="H2:H5"/>
    <mergeCell ref="H6:H9"/>
    <mergeCell ref="H10:H13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90A5D-C991-40C6-B472-0E86C46623A1}">
  <dimension ref="A1:R27"/>
  <sheetViews>
    <sheetView zoomScale="80" zoomScaleNormal="80" workbookViewId="0">
      <selection activeCell="H18" sqref="H18:H21"/>
    </sheetView>
  </sheetViews>
  <sheetFormatPr defaultRowHeight="14.45"/>
  <cols>
    <col min="1" max="1" width="24.42578125" customWidth="1"/>
    <col min="2" max="2" width="4.140625" bestFit="1" customWidth="1"/>
    <col min="3" max="3" width="7" bestFit="1" customWidth="1"/>
    <col min="4" max="4" width="9.85546875" bestFit="1" customWidth="1"/>
    <col min="5" max="5" width="12.7109375" bestFit="1" customWidth="1"/>
    <col min="6" max="6" width="15.7109375" bestFit="1" customWidth="1"/>
    <col min="7" max="7" width="32.7109375" customWidth="1"/>
    <col min="8" max="8" width="33.7109375" customWidth="1"/>
    <col min="9" max="9" width="26.85546875" bestFit="1" customWidth="1"/>
    <col min="10" max="10" width="27.7109375" bestFit="1" customWidth="1"/>
  </cols>
  <sheetData>
    <row r="1" spans="1:18" ht="15" thickBot="1">
      <c r="B1" s="4" t="s">
        <v>0</v>
      </c>
      <c r="C1" s="5" t="s">
        <v>1</v>
      </c>
      <c r="D1" s="6" t="s">
        <v>2</v>
      </c>
      <c r="E1" s="7" t="s">
        <v>3</v>
      </c>
      <c r="F1" s="8" t="s">
        <v>4</v>
      </c>
      <c r="G1" s="2" t="s">
        <v>5</v>
      </c>
      <c r="H1" s="3" t="s">
        <v>6</v>
      </c>
      <c r="N1" s="9">
        <v>1</v>
      </c>
      <c r="O1" s="9">
        <v>3</v>
      </c>
      <c r="P1" s="9">
        <v>24</v>
      </c>
      <c r="Q1" s="9">
        <v>23</v>
      </c>
      <c r="R1" s="9">
        <v>9</v>
      </c>
    </row>
    <row r="2" spans="1:18">
      <c r="A2" s="39" t="s">
        <v>7</v>
      </c>
      <c r="B2" s="9">
        <v>1</v>
      </c>
      <c r="C2" s="9">
        <v>3</v>
      </c>
      <c r="D2" s="9">
        <v>24</v>
      </c>
      <c r="E2" s="9">
        <v>23</v>
      </c>
      <c r="F2" s="68">
        <v>9</v>
      </c>
      <c r="G2" s="65">
        <f>SUM(B2:F2)</f>
        <v>60</v>
      </c>
      <c r="H2" s="72">
        <f>SUM(G2:G5)</f>
        <v>103</v>
      </c>
      <c r="N2" s="10">
        <v>0</v>
      </c>
      <c r="O2" s="10">
        <v>4</v>
      </c>
      <c r="P2" s="10">
        <v>10</v>
      </c>
      <c r="Q2" s="10">
        <v>18</v>
      </c>
      <c r="R2" s="10">
        <v>11</v>
      </c>
    </row>
    <row r="3" spans="1:18">
      <c r="A3" s="42" t="s">
        <v>8</v>
      </c>
      <c r="B3" s="34"/>
      <c r="C3" s="34"/>
      <c r="D3" s="34"/>
      <c r="E3" s="34"/>
      <c r="F3" s="34"/>
      <c r="G3" s="35">
        <f>SUM(B3:F3)</f>
        <v>0</v>
      </c>
      <c r="H3" s="73"/>
      <c r="N3" s="11">
        <v>0</v>
      </c>
      <c r="O3" s="11">
        <v>0</v>
      </c>
      <c r="P3" s="11">
        <v>1</v>
      </c>
      <c r="Q3" s="11">
        <v>10</v>
      </c>
      <c r="R3" s="11">
        <v>15</v>
      </c>
    </row>
    <row r="4" spans="1:18">
      <c r="A4" s="42" t="s">
        <v>9</v>
      </c>
      <c r="B4" s="34">
        <v>0</v>
      </c>
      <c r="C4" s="34">
        <v>4</v>
      </c>
      <c r="D4" s="34">
        <v>10</v>
      </c>
      <c r="E4" s="34">
        <v>18</v>
      </c>
      <c r="F4" s="61">
        <v>11</v>
      </c>
      <c r="G4" s="61">
        <f t="shared" ref="G4:G23" si="0">SUM(B4:F4)</f>
        <v>43</v>
      </c>
      <c r="H4" s="73"/>
      <c r="N4" s="12">
        <v>0</v>
      </c>
      <c r="O4" s="12">
        <v>1</v>
      </c>
      <c r="P4" s="12">
        <v>3</v>
      </c>
      <c r="Q4" s="12">
        <v>8</v>
      </c>
      <c r="R4" s="12">
        <v>40</v>
      </c>
    </row>
    <row r="5" spans="1:18" ht="15" thickBot="1">
      <c r="A5" s="43" t="s">
        <v>10</v>
      </c>
      <c r="B5" s="44"/>
      <c r="C5" s="44"/>
      <c r="D5" s="44"/>
      <c r="E5" s="44"/>
      <c r="F5" s="44"/>
      <c r="G5" s="45">
        <f t="shared" si="0"/>
        <v>0</v>
      </c>
      <c r="H5" s="74"/>
      <c r="N5" s="13">
        <v>1</v>
      </c>
      <c r="O5" s="13">
        <v>8</v>
      </c>
      <c r="P5" s="13">
        <v>12</v>
      </c>
      <c r="Q5" s="13">
        <v>21</v>
      </c>
      <c r="R5" s="13">
        <v>3</v>
      </c>
    </row>
    <row r="6" spans="1:18">
      <c r="A6" s="46" t="s">
        <v>11</v>
      </c>
      <c r="B6" s="11">
        <v>0</v>
      </c>
      <c r="C6" s="11">
        <v>0</v>
      </c>
      <c r="D6" s="11">
        <v>1</v>
      </c>
      <c r="E6" s="11">
        <v>10</v>
      </c>
      <c r="F6" s="11">
        <v>15</v>
      </c>
      <c r="G6" s="48">
        <f t="shared" si="0"/>
        <v>26</v>
      </c>
      <c r="H6" s="69">
        <f>SUM(G6:G9)</f>
        <v>78</v>
      </c>
      <c r="N6" s="14">
        <v>0</v>
      </c>
      <c r="O6" s="14">
        <v>0</v>
      </c>
      <c r="P6" s="14">
        <v>12</v>
      </c>
      <c r="Q6" s="14">
        <v>15</v>
      </c>
      <c r="R6" s="14">
        <v>23</v>
      </c>
    </row>
    <row r="7" spans="1:18">
      <c r="A7" s="49" t="s">
        <v>12</v>
      </c>
      <c r="B7" s="36"/>
      <c r="C7" s="36"/>
      <c r="D7" s="36"/>
      <c r="E7" s="36"/>
      <c r="F7" s="36"/>
      <c r="G7" s="37">
        <f t="shared" si="0"/>
        <v>0</v>
      </c>
      <c r="H7" s="70"/>
      <c r="N7" s="11">
        <v>6</v>
      </c>
      <c r="O7" s="11">
        <v>7</v>
      </c>
      <c r="P7" s="11">
        <v>13</v>
      </c>
      <c r="Q7" s="11">
        <v>24</v>
      </c>
      <c r="R7" s="11">
        <v>16</v>
      </c>
    </row>
    <row r="8" spans="1:18">
      <c r="A8" s="49" t="s">
        <v>13</v>
      </c>
      <c r="B8" s="36">
        <v>0</v>
      </c>
      <c r="C8" s="36">
        <v>1</v>
      </c>
      <c r="D8" s="36">
        <v>3</v>
      </c>
      <c r="E8" s="36">
        <v>8</v>
      </c>
      <c r="F8" s="64">
        <v>40</v>
      </c>
      <c r="G8" s="62">
        <f t="shared" si="0"/>
        <v>52</v>
      </c>
      <c r="H8" s="70"/>
      <c r="N8" s="12">
        <v>0</v>
      </c>
      <c r="O8" s="12">
        <v>0</v>
      </c>
      <c r="P8" s="12">
        <v>0</v>
      </c>
      <c r="Q8" s="12">
        <v>11</v>
      </c>
      <c r="R8" s="12">
        <v>17</v>
      </c>
    </row>
    <row r="9" spans="1:18" ht="15" thickBot="1">
      <c r="A9" s="50" t="s">
        <v>14</v>
      </c>
      <c r="B9" s="51"/>
      <c r="C9" s="51"/>
      <c r="D9" s="51"/>
      <c r="E9" s="51"/>
      <c r="F9" s="51"/>
      <c r="G9" s="52">
        <f t="shared" si="0"/>
        <v>0</v>
      </c>
      <c r="H9" s="71"/>
      <c r="N9" s="13">
        <v>0</v>
      </c>
      <c r="O9" s="13">
        <v>0</v>
      </c>
      <c r="P9" s="13">
        <v>0</v>
      </c>
      <c r="Q9" s="13">
        <v>1</v>
      </c>
      <c r="R9" s="13">
        <v>4</v>
      </c>
    </row>
    <row r="10" spans="1:18">
      <c r="A10" s="53" t="s">
        <v>15</v>
      </c>
      <c r="B10" s="13">
        <v>1</v>
      </c>
      <c r="C10" s="13">
        <v>8</v>
      </c>
      <c r="D10" s="13">
        <v>12</v>
      </c>
      <c r="E10" s="13">
        <v>21</v>
      </c>
      <c r="F10" s="13">
        <v>3</v>
      </c>
      <c r="G10" s="41">
        <f t="shared" si="0"/>
        <v>45</v>
      </c>
      <c r="H10" s="72">
        <f>SUM(G10:G13)</f>
        <v>95</v>
      </c>
      <c r="N10" s="14">
        <v>0</v>
      </c>
      <c r="O10" s="14">
        <v>0</v>
      </c>
      <c r="P10" s="14">
        <v>0</v>
      </c>
      <c r="Q10" s="14">
        <v>0</v>
      </c>
      <c r="R10" s="14">
        <v>0</v>
      </c>
    </row>
    <row r="11" spans="1:18">
      <c r="A11" s="55" t="s">
        <v>16</v>
      </c>
      <c r="B11" s="38"/>
      <c r="C11" s="38"/>
      <c r="D11" s="38"/>
      <c r="E11" s="38"/>
      <c r="F11" s="38"/>
      <c r="G11" s="35">
        <f t="shared" si="0"/>
        <v>0</v>
      </c>
      <c r="H11" s="73"/>
      <c r="N11" s="20">
        <v>0</v>
      </c>
      <c r="O11" s="20">
        <v>0</v>
      </c>
      <c r="P11" s="20">
        <v>0</v>
      </c>
      <c r="Q11" s="20">
        <v>0</v>
      </c>
      <c r="R11" s="20">
        <v>0</v>
      </c>
    </row>
    <row r="12" spans="1:18">
      <c r="A12" s="55" t="s">
        <v>17</v>
      </c>
      <c r="B12" s="38">
        <v>0</v>
      </c>
      <c r="C12" s="38">
        <v>0</v>
      </c>
      <c r="D12" s="38">
        <v>12</v>
      </c>
      <c r="E12" s="38">
        <v>15</v>
      </c>
      <c r="F12" s="63">
        <v>23</v>
      </c>
      <c r="G12" s="61">
        <f t="shared" si="0"/>
        <v>50</v>
      </c>
      <c r="H12" s="73"/>
    </row>
    <row r="13" spans="1:18" ht="15" thickBot="1">
      <c r="A13" s="56" t="s">
        <v>18</v>
      </c>
      <c r="B13" s="57"/>
      <c r="C13" s="57"/>
      <c r="D13" s="57"/>
      <c r="E13" s="57"/>
      <c r="F13" s="57"/>
      <c r="G13" s="45">
        <f t="shared" si="0"/>
        <v>0</v>
      </c>
      <c r="H13" s="74"/>
    </row>
    <row r="14" spans="1:18">
      <c r="A14" s="46" t="s">
        <v>19</v>
      </c>
      <c r="B14" s="11">
        <v>6</v>
      </c>
      <c r="C14" s="11">
        <v>7</v>
      </c>
      <c r="D14" s="11">
        <v>13</v>
      </c>
      <c r="E14" s="11">
        <v>24</v>
      </c>
      <c r="F14" s="11">
        <v>16</v>
      </c>
      <c r="G14" s="48">
        <f t="shared" si="0"/>
        <v>66</v>
      </c>
      <c r="H14" s="69">
        <f>SUM(G14:G17)</f>
        <v>94</v>
      </c>
    </row>
    <row r="15" spans="1:18" ht="15" thickBot="1">
      <c r="A15" s="49" t="s">
        <v>20</v>
      </c>
      <c r="B15" s="36"/>
      <c r="C15" s="36"/>
      <c r="D15" s="36"/>
      <c r="E15" s="36"/>
      <c r="F15" s="36"/>
      <c r="G15" s="37">
        <f t="shared" si="0"/>
        <v>0</v>
      </c>
      <c r="H15" s="70"/>
    </row>
    <row r="16" spans="1:18" ht="15" thickBot="1">
      <c r="A16" s="49" t="s">
        <v>21</v>
      </c>
      <c r="B16" s="36">
        <v>0</v>
      </c>
      <c r="C16" s="36">
        <v>0</v>
      </c>
      <c r="D16" s="36">
        <v>0</v>
      </c>
      <c r="E16" s="36">
        <v>11</v>
      </c>
      <c r="F16" s="64">
        <v>17</v>
      </c>
      <c r="G16" s="62">
        <f t="shared" si="0"/>
        <v>28</v>
      </c>
      <c r="H16" s="70"/>
      <c r="J16" s="33"/>
    </row>
    <row r="17" spans="1:9" ht="15" thickBot="1">
      <c r="A17" s="50" t="s">
        <v>22</v>
      </c>
      <c r="B17" s="51"/>
      <c r="C17" s="51"/>
      <c r="D17" s="51"/>
      <c r="E17" s="51"/>
      <c r="F17" s="51"/>
      <c r="G17" s="52">
        <f t="shared" si="0"/>
        <v>0</v>
      </c>
      <c r="H17" s="71"/>
    </row>
    <row r="18" spans="1:9">
      <c r="A18" s="53" t="s">
        <v>23</v>
      </c>
      <c r="B18" s="13">
        <v>0</v>
      </c>
      <c r="C18" s="13">
        <v>0</v>
      </c>
      <c r="D18" s="13">
        <v>0</v>
      </c>
      <c r="E18" s="13">
        <v>1</v>
      </c>
      <c r="F18" s="13">
        <v>4</v>
      </c>
      <c r="G18" s="41">
        <f t="shared" si="0"/>
        <v>5</v>
      </c>
      <c r="H18" s="72">
        <f>SUM(G18:G21)</f>
        <v>5</v>
      </c>
    </row>
    <row r="19" spans="1:9">
      <c r="A19" s="55" t="s">
        <v>24</v>
      </c>
      <c r="B19" s="38"/>
      <c r="C19" s="38"/>
      <c r="D19" s="38"/>
      <c r="E19" s="38"/>
      <c r="F19" s="38"/>
      <c r="G19" s="35">
        <f t="shared" si="0"/>
        <v>0</v>
      </c>
      <c r="H19" s="73"/>
    </row>
    <row r="20" spans="1:9">
      <c r="A20" s="55" t="s">
        <v>25</v>
      </c>
      <c r="B20" s="38"/>
      <c r="C20" s="38"/>
      <c r="D20" s="38"/>
      <c r="E20" s="38"/>
      <c r="F20" s="63"/>
      <c r="G20" s="61">
        <f t="shared" si="0"/>
        <v>0</v>
      </c>
      <c r="H20" s="73"/>
    </row>
    <row r="21" spans="1:9" ht="15" thickBot="1">
      <c r="A21" s="56" t="s">
        <v>26</v>
      </c>
      <c r="B21" s="38"/>
      <c r="C21" s="38"/>
      <c r="D21" s="38"/>
      <c r="E21" s="38"/>
      <c r="F21" s="38"/>
      <c r="G21" s="45">
        <f t="shared" si="0"/>
        <v>0</v>
      </c>
      <c r="H21" s="74"/>
    </row>
    <row r="22" spans="1:9">
      <c r="A22" s="58" t="s">
        <v>27</v>
      </c>
      <c r="B22" s="47"/>
      <c r="C22" s="47"/>
      <c r="D22" s="47"/>
      <c r="E22" s="47"/>
      <c r="F22" s="66"/>
      <c r="G22" s="60">
        <f t="shared" si="0"/>
        <v>0</v>
      </c>
      <c r="H22" s="75">
        <f>SUM(G22:G24)</f>
        <v>0</v>
      </c>
    </row>
    <row r="23" spans="1:9" ht="15" thickBot="1">
      <c r="A23" s="59" t="s">
        <v>28</v>
      </c>
      <c r="B23" s="51"/>
      <c r="C23" s="51"/>
      <c r="D23" s="51"/>
      <c r="E23" s="51"/>
      <c r="F23" s="51"/>
      <c r="G23" s="52">
        <f t="shared" si="0"/>
        <v>0</v>
      </c>
      <c r="H23" s="76"/>
    </row>
    <row r="24" spans="1:9" ht="15" thickBot="1">
      <c r="A24" s="15"/>
      <c r="B24" s="1"/>
      <c r="C24" s="1"/>
      <c r="D24" s="1"/>
      <c r="E24" s="1"/>
      <c r="F24" s="1"/>
      <c r="G24" s="77"/>
      <c r="H24" s="77"/>
    </row>
    <row r="25" spans="1:9" ht="15" thickBot="1">
      <c r="A25" s="26" t="s">
        <v>29</v>
      </c>
      <c r="B25" s="21">
        <f>SUM(B2:B23)</f>
        <v>8</v>
      </c>
      <c r="C25" s="22">
        <f>SUM(C2:C23)</f>
        <v>23</v>
      </c>
      <c r="D25" s="22">
        <f>SUM(D2:D23)</f>
        <v>75</v>
      </c>
      <c r="E25" s="23">
        <f>SUM(E2:E23)</f>
        <v>131</v>
      </c>
      <c r="F25" s="24">
        <f>SUM(F2:F23)</f>
        <v>138</v>
      </c>
      <c r="G25" s="16" t="s">
        <v>30</v>
      </c>
      <c r="H25" s="19">
        <f>SUM(G2:G23)</f>
        <v>375</v>
      </c>
    </row>
    <row r="26" spans="1:9" ht="15" thickBot="1">
      <c r="A26" s="25" t="s">
        <v>31</v>
      </c>
      <c r="B26" s="27">
        <f>AVERAGE(B2:B23)</f>
        <v>0.88888888888888884</v>
      </c>
      <c r="C26" s="28">
        <f>AVERAGE(C2:C23)</f>
        <v>2.5555555555555554</v>
      </c>
      <c r="D26" s="28">
        <f>AVERAGE(D2:D23)</f>
        <v>8.3333333333333339</v>
      </c>
      <c r="E26" s="29">
        <f>AVERAGE(E2:E23)</f>
        <v>14.555555555555555</v>
      </c>
      <c r="F26" s="30">
        <f>AVERAGE(F2:F23)</f>
        <v>15.333333333333334</v>
      </c>
      <c r="G26" s="17" t="s">
        <v>32</v>
      </c>
      <c r="H26" s="18">
        <f>SUM(B25*1,C25*2,D25*3,E25*4,F25*5)/H25</f>
        <v>3.9813333333333332</v>
      </c>
    </row>
    <row r="27" spans="1:9" ht="15" thickBot="1">
      <c r="G27" s="31" t="s">
        <v>33</v>
      </c>
      <c r="H27" s="32">
        <f>'SEMANA 16'!H26</f>
        <v>4.0919540229885056</v>
      </c>
      <c r="I27" s="33" t="str">
        <f>_xlfn.CONCAT("", (H26-H27)/H27, "%")</f>
        <v>-0,0270337078651686%</v>
      </c>
    </row>
  </sheetData>
  <mergeCells count="7">
    <mergeCell ref="H14:H17"/>
    <mergeCell ref="H18:H21"/>
    <mergeCell ref="H22:H23"/>
    <mergeCell ref="G24:H24"/>
    <mergeCell ref="H2:H5"/>
    <mergeCell ref="H6:H9"/>
    <mergeCell ref="H10:H13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F99C9-4907-4EA8-A2EA-72ADB122A8A8}">
  <dimension ref="A1:R27"/>
  <sheetViews>
    <sheetView topLeftCell="B1" zoomScaleNormal="100" workbookViewId="0">
      <selection activeCell="H26" sqref="H26"/>
    </sheetView>
  </sheetViews>
  <sheetFormatPr defaultRowHeight="14.45"/>
  <cols>
    <col min="1" max="1" width="24.42578125" customWidth="1"/>
    <col min="2" max="2" width="4.140625" bestFit="1" customWidth="1"/>
    <col min="3" max="3" width="7" bestFit="1" customWidth="1"/>
    <col min="4" max="4" width="9.85546875" bestFit="1" customWidth="1"/>
    <col min="5" max="5" width="12.7109375" bestFit="1" customWidth="1"/>
    <col min="6" max="6" width="15.7109375" bestFit="1" customWidth="1"/>
    <col min="7" max="7" width="35" customWidth="1"/>
    <col min="8" max="8" width="33.7109375" customWidth="1"/>
    <col min="9" max="9" width="26.85546875" bestFit="1" customWidth="1"/>
    <col min="10" max="10" width="27.7109375" bestFit="1" customWidth="1"/>
  </cols>
  <sheetData>
    <row r="1" spans="1:18" ht="15" thickBot="1">
      <c r="B1" s="4" t="s">
        <v>0</v>
      </c>
      <c r="C1" s="5" t="s">
        <v>1</v>
      </c>
      <c r="D1" s="6" t="s">
        <v>2</v>
      </c>
      <c r="E1" s="7" t="s">
        <v>3</v>
      </c>
      <c r="F1" s="8" t="s">
        <v>4</v>
      </c>
      <c r="G1" s="2" t="s">
        <v>5</v>
      </c>
      <c r="H1" s="3" t="s">
        <v>6</v>
      </c>
      <c r="N1" s="9">
        <v>2</v>
      </c>
      <c r="O1" s="9">
        <v>0</v>
      </c>
      <c r="P1" s="9">
        <v>2</v>
      </c>
      <c r="Q1" s="9">
        <v>1</v>
      </c>
      <c r="R1" s="9">
        <v>51</v>
      </c>
    </row>
    <row r="2" spans="1:18">
      <c r="A2" s="39" t="s">
        <v>7</v>
      </c>
      <c r="B2" s="9">
        <v>2</v>
      </c>
      <c r="C2" s="9">
        <v>0</v>
      </c>
      <c r="D2" s="9">
        <v>2</v>
      </c>
      <c r="E2" s="9">
        <v>1</v>
      </c>
      <c r="F2" s="68">
        <v>51</v>
      </c>
      <c r="G2" s="65">
        <f>SUM(B2:F2)</f>
        <v>56</v>
      </c>
      <c r="H2" s="72">
        <f>SUM(G2:G5)</f>
        <v>88</v>
      </c>
      <c r="N2" s="10">
        <v>3</v>
      </c>
      <c r="O2" s="10">
        <v>4</v>
      </c>
      <c r="P2" s="10">
        <v>3</v>
      </c>
      <c r="Q2" s="10">
        <v>6</v>
      </c>
      <c r="R2" s="10">
        <v>16</v>
      </c>
    </row>
    <row r="3" spans="1:18">
      <c r="A3" s="42" t="s">
        <v>8</v>
      </c>
      <c r="B3" s="34"/>
      <c r="C3" s="34"/>
      <c r="D3" s="34"/>
      <c r="E3" s="34"/>
      <c r="F3" s="34"/>
      <c r="G3" s="35">
        <f>SUM(B3:F3)</f>
        <v>0</v>
      </c>
      <c r="H3" s="73"/>
      <c r="N3" s="11">
        <v>1</v>
      </c>
      <c r="O3" s="11">
        <v>1</v>
      </c>
      <c r="P3" s="11">
        <v>7</v>
      </c>
      <c r="Q3" s="11">
        <v>20</v>
      </c>
      <c r="R3" s="11">
        <v>8</v>
      </c>
    </row>
    <row r="4" spans="1:18">
      <c r="A4" s="42" t="s">
        <v>9</v>
      </c>
      <c r="B4" s="34">
        <v>3</v>
      </c>
      <c r="C4" s="34">
        <v>4</v>
      </c>
      <c r="D4" s="34">
        <v>3</v>
      </c>
      <c r="E4" s="34">
        <v>6</v>
      </c>
      <c r="F4" s="61">
        <v>16</v>
      </c>
      <c r="G4" s="61">
        <f t="shared" ref="G4:G23" si="0">SUM(B4:F4)</f>
        <v>32</v>
      </c>
      <c r="H4" s="73"/>
      <c r="N4" s="12">
        <v>0</v>
      </c>
      <c r="O4" s="12">
        <v>2</v>
      </c>
      <c r="P4" s="12">
        <f>3+1</f>
        <v>4</v>
      </c>
      <c r="Q4" s="12">
        <v>10</v>
      </c>
      <c r="R4" s="12">
        <v>25</v>
      </c>
    </row>
    <row r="5" spans="1:18" ht="15" thickBot="1">
      <c r="A5" s="43" t="s">
        <v>10</v>
      </c>
      <c r="B5" s="44"/>
      <c r="C5" s="44"/>
      <c r="D5" s="44"/>
      <c r="E5" s="44"/>
      <c r="F5" s="44"/>
      <c r="G5" s="45">
        <f t="shared" si="0"/>
        <v>0</v>
      </c>
      <c r="H5" s="74"/>
      <c r="N5" s="13">
        <v>1</v>
      </c>
      <c r="O5" s="13">
        <v>1</v>
      </c>
      <c r="P5" s="13">
        <v>7</v>
      </c>
      <c r="Q5" s="13">
        <v>22</v>
      </c>
      <c r="R5" s="13">
        <f>15+6</f>
        <v>21</v>
      </c>
    </row>
    <row r="6" spans="1:18">
      <c r="A6" s="46" t="s">
        <v>11</v>
      </c>
      <c r="B6" s="11">
        <v>1</v>
      </c>
      <c r="C6" s="11">
        <v>1</v>
      </c>
      <c r="D6" s="11">
        <v>7</v>
      </c>
      <c r="E6" s="11">
        <v>20</v>
      </c>
      <c r="F6" s="11">
        <v>8</v>
      </c>
      <c r="G6" s="48">
        <f t="shared" si="0"/>
        <v>37</v>
      </c>
      <c r="H6" s="69">
        <f>SUM(G6:G9)</f>
        <v>78</v>
      </c>
      <c r="N6" s="14">
        <v>1</v>
      </c>
      <c r="O6" s="14">
        <v>0</v>
      </c>
      <c r="P6" s="14">
        <v>4</v>
      </c>
      <c r="Q6" s="14">
        <v>9</v>
      </c>
      <c r="R6" s="14">
        <v>28</v>
      </c>
    </row>
    <row r="7" spans="1:18">
      <c r="A7" s="49" t="s">
        <v>12</v>
      </c>
      <c r="B7" s="36"/>
      <c r="C7" s="36"/>
      <c r="D7" s="36"/>
      <c r="E7" s="36"/>
      <c r="F7" s="36"/>
      <c r="G7" s="37">
        <f t="shared" si="0"/>
        <v>0</v>
      </c>
      <c r="H7" s="70"/>
      <c r="N7" s="11">
        <v>0</v>
      </c>
      <c r="O7" s="11">
        <v>1</v>
      </c>
      <c r="P7" s="11">
        <v>6</v>
      </c>
      <c r="Q7" s="11">
        <v>19</v>
      </c>
      <c r="R7" s="11">
        <v>9</v>
      </c>
    </row>
    <row r="8" spans="1:18">
      <c r="A8" s="49" t="s">
        <v>13</v>
      </c>
      <c r="B8" s="36">
        <v>0</v>
      </c>
      <c r="C8" s="36">
        <v>2</v>
      </c>
      <c r="D8" s="36">
        <v>4</v>
      </c>
      <c r="E8" s="36">
        <v>10</v>
      </c>
      <c r="F8" s="64">
        <v>25</v>
      </c>
      <c r="G8" s="62">
        <f t="shared" si="0"/>
        <v>41</v>
      </c>
      <c r="H8" s="70"/>
      <c r="N8" s="12">
        <v>0</v>
      </c>
      <c r="O8" s="12">
        <v>1</v>
      </c>
      <c r="P8" s="12">
        <v>3</v>
      </c>
      <c r="Q8" s="12">
        <v>10</v>
      </c>
      <c r="R8" s="12">
        <v>18</v>
      </c>
    </row>
    <row r="9" spans="1:18" ht="15" thickBot="1">
      <c r="A9" s="50" t="s">
        <v>14</v>
      </c>
      <c r="B9" s="51"/>
      <c r="C9" s="51"/>
      <c r="D9" s="51"/>
      <c r="E9" s="51"/>
      <c r="F9" s="51"/>
      <c r="G9" s="52">
        <f t="shared" si="0"/>
        <v>0</v>
      </c>
      <c r="H9" s="71"/>
      <c r="N9" s="13">
        <v>0</v>
      </c>
      <c r="O9" s="13">
        <v>7</v>
      </c>
      <c r="P9" s="13">
        <v>10</v>
      </c>
      <c r="Q9" s="13">
        <v>13</v>
      </c>
      <c r="R9" s="13">
        <v>6</v>
      </c>
    </row>
    <row r="10" spans="1:18">
      <c r="A10" s="53" t="s">
        <v>15</v>
      </c>
      <c r="B10" s="13">
        <v>1</v>
      </c>
      <c r="C10" s="13">
        <v>1</v>
      </c>
      <c r="D10" s="13">
        <v>7</v>
      </c>
      <c r="E10" s="13">
        <v>22</v>
      </c>
      <c r="F10" s="13">
        <v>21</v>
      </c>
      <c r="G10" s="41">
        <f t="shared" si="0"/>
        <v>52</v>
      </c>
      <c r="H10" s="72">
        <f>SUM(G10:G13)</f>
        <v>94</v>
      </c>
      <c r="N10" s="14">
        <v>25</v>
      </c>
      <c r="O10" s="14">
        <v>8</v>
      </c>
      <c r="P10" s="14">
        <v>1</v>
      </c>
      <c r="Q10" s="14">
        <v>1</v>
      </c>
      <c r="R10" s="14">
        <v>2</v>
      </c>
    </row>
    <row r="11" spans="1:18">
      <c r="A11" s="55" t="s">
        <v>16</v>
      </c>
      <c r="B11" s="38"/>
      <c r="C11" s="38"/>
      <c r="D11" s="38"/>
      <c r="E11" s="38"/>
      <c r="F11" s="38"/>
      <c r="G11" s="35">
        <f t="shared" si="0"/>
        <v>0</v>
      </c>
      <c r="H11" s="73"/>
      <c r="N11" s="20">
        <v>0</v>
      </c>
      <c r="O11" s="20">
        <v>0</v>
      </c>
      <c r="P11" s="20">
        <v>3</v>
      </c>
      <c r="Q11" s="20">
        <v>5</v>
      </c>
      <c r="R11" s="20">
        <f>13+7</f>
        <v>20</v>
      </c>
    </row>
    <row r="12" spans="1:18">
      <c r="A12" s="55" t="s">
        <v>17</v>
      </c>
      <c r="B12" s="38">
        <v>1</v>
      </c>
      <c r="C12" s="38">
        <v>0</v>
      </c>
      <c r="D12" s="38">
        <v>4</v>
      </c>
      <c r="E12" s="38">
        <v>9</v>
      </c>
      <c r="F12" s="63">
        <v>28</v>
      </c>
      <c r="G12" s="61">
        <f t="shared" si="0"/>
        <v>42</v>
      </c>
      <c r="H12" s="73"/>
    </row>
    <row r="13" spans="1:18" ht="15" thickBot="1">
      <c r="A13" s="56" t="s">
        <v>18</v>
      </c>
      <c r="B13" s="57"/>
      <c r="C13" s="57"/>
      <c r="D13" s="57"/>
      <c r="E13" s="57"/>
      <c r="F13" s="57"/>
      <c r="G13" s="45">
        <f t="shared" si="0"/>
        <v>0</v>
      </c>
      <c r="H13" s="74"/>
    </row>
    <row r="14" spans="1:18">
      <c r="A14" s="46" t="s">
        <v>19</v>
      </c>
      <c r="B14" s="11">
        <v>0</v>
      </c>
      <c r="C14" s="11">
        <v>1</v>
      </c>
      <c r="D14" s="11">
        <v>6</v>
      </c>
      <c r="E14" s="11">
        <v>19</v>
      </c>
      <c r="F14" s="11">
        <v>9</v>
      </c>
      <c r="G14" s="48">
        <f t="shared" si="0"/>
        <v>35</v>
      </c>
      <c r="H14" s="69">
        <f>SUM(G14:G17)</f>
        <v>67</v>
      </c>
    </row>
    <row r="15" spans="1:18" ht="15" thickBot="1">
      <c r="A15" s="49" t="s">
        <v>20</v>
      </c>
      <c r="B15" s="36"/>
      <c r="C15" s="36"/>
      <c r="D15" s="36"/>
      <c r="E15" s="36"/>
      <c r="F15" s="36"/>
      <c r="G15" s="37">
        <f t="shared" si="0"/>
        <v>0</v>
      </c>
      <c r="H15" s="70"/>
    </row>
    <row r="16" spans="1:18" ht="15" thickBot="1">
      <c r="A16" s="49" t="s">
        <v>21</v>
      </c>
      <c r="B16" s="36">
        <v>0</v>
      </c>
      <c r="C16" s="36">
        <v>1</v>
      </c>
      <c r="D16" s="36">
        <v>3</v>
      </c>
      <c r="E16" s="36">
        <v>10</v>
      </c>
      <c r="F16" s="64">
        <v>18</v>
      </c>
      <c r="G16" s="62">
        <f t="shared" si="0"/>
        <v>32</v>
      </c>
      <c r="H16" s="70"/>
      <c r="J16" s="33"/>
    </row>
    <row r="17" spans="1:9" ht="15" thickBot="1">
      <c r="A17" s="50" t="s">
        <v>22</v>
      </c>
      <c r="B17" s="51"/>
      <c r="C17" s="51"/>
      <c r="D17" s="51"/>
      <c r="E17" s="51"/>
      <c r="F17" s="51"/>
      <c r="G17" s="52">
        <f t="shared" si="0"/>
        <v>0</v>
      </c>
      <c r="H17" s="71"/>
    </row>
    <row r="18" spans="1:9">
      <c r="A18" s="53" t="s">
        <v>23</v>
      </c>
      <c r="B18" s="13">
        <v>0</v>
      </c>
      <c r="C18" s="13">
        <v>7</v>
      </c>
      <c r="D18" s="13">
        <v>10</v>
      </c>
      <c r="E18" s="13">
        <v>13</v>
      </c>
      <c r="F18" s="13">
        <v>6</v>
      </c>
      <c r="G18" s="41">
        <f t="shared" si="0"/>
        <v>36</v>
      </c>
      <c r="H18" s="72">
        <f>SUM(G18:G21)</f>
        <v>73</v>
      </c>
    </row>
    <row r="19" spans="1:9">
      <c r="A19" s="55" t="s">
        <v>24</v>
      </c>
      <c r="B19" s="38"/>
      <c r="C19" s="38"/>
      <c r="D19" s="38"/>
      <c r="E19" s="38"/>
      <c r="F19" s="38"/>
      <c r="G19" s="35">
        <f t="shared" si="0"/>
        <v>0</v>
      </c>
      <c r="H19" s="73"/>
    </row>
    <row r="20" spans="1:9">
      <c r="A20" s="55" t="s">
        <v>25</v>
      </c>
      <c r="B20" s="38">
        <v>25</v>
      </c>
      <c r="C20" s="38">
        <v>8</v>
      </c>
      <c r="D20" s="38">
        <v>1</v>
      </c>
      <c r="E20" s="38">
        <v>1</v>
      </c>
      <c r="F20" s="63">
        <v>2</v>
      </c>
      <c r="G20" s="61">
        <f t="shared" si="0"/>
        <v>37</v>
      </c>
      <c r="H20" s="73"/>
    </row>
    <row r="21" spans="1:9" ht="15" thickBot="1">
      <c r="A21" s="56" t="s">
        <v>26</v>
      </c>
      <c r="B21" s="38"/>
      <c r="C21" s="38"/>
      <c r="D21" s="38"/>
      <c r="E21" s="38"/>
      <c r="F21" s="38"/>
      <c r="G21" s="45">
        <f t="shared" si="0"/>
        <v>0</v>
      </c>
      <c r="H21" s="74"/>
    </row>
    <row r="22" spans="1:9">
      <c r="A22" s="58" t="s">
        <v>27</v>
      </c>
      <c r="B22" s="47">
        <v>0</v>
      </c>
      <c r="C22" s="47">
        <v>0</v>
      </c>
      <c r="D22" s="47">
        <v>3</v>
      </c>
      <c r="E22" s="47">
        <v>5</v>
      </c>
      <c r="F22" s="66">
        <v>20</v>
      </c>
      <c r="G22" s="60">
        <f t="shared" si="0"/>
        <v>28</v>
      </c>
      <c r="H22" s="75">
        <f>SUM(G22:G24)</f>
        <v>28</v>
      </c>
    </row>
    <row r="23" spans="1:9" ht="15" thickBot="1">
      <c r="A23" s="59" t="s">
        <v>28</v>
      </c>
      <c r="B23" s="51"/>
      <c r="C23" s="51"/>
      <c r="D23" s="51"/>
      <c r="E23" s="51"/>
      <c r="F23" s="51"/>
      <c r="G23" s="52">
        <f t="shared" si="0"/>
        <v>0</v>
      </c>
      <c r="H23" s="76"/>
    </row>
    <row r="24" spans="1:9" ht="15" thickBot="1">
      <c r="A24" s="15"/>
      <c r="B24" s="1"/>
      <c r="C24" s="1"/>
      <c r="D24" s="1"/>
      <c r="E24" s="1"/>
      <c r="F24" s="1"/>
      <c r="G24" s="77"/>
      <c r="H24" s="77"/>
    </row>
    <row r="25" spans="1:9" ht="15" thickBot="1">
      <c r="A25" s="26" t="s">
        <v>29</v>
      </c>
      <c r="B25" s="21">
        <f>SUM(B2:B23)</f>
        <v>33</v>
      </c>
      <c r="C25" s="22">
        <f>SUM(C2:C23)</f>
        <v>25</v>
      </c>
      <c r="D25" s="22">
        <f>SUM(D2:D23)</f>
        <v>50</v>
      </c>
      <c r="E25" s="23">
        <f>SUM(E2:E23)</f>
        <v>116</v>
      </c>
      <c r="F25" s="24">
        <f>SUM(F2:F23)</f>
        <v>204</v>
      </c>
      <c r="G25" s="16" t="s">
        <v>30</v>
      </c>
      <c r="H25" s="19">
        <f>SUM(G2:G23)</f>
        <v>428</v>
      </c>
    </row>
    <row r="26" spans="1:9" ht="15" thickBot="1">
      <c r="A26" s="25" t="s">
        <v>31</v>
      </c>
      <c r="B26" s="27">
        <f>AVERAGE(B2:B23)</f>
        <v>3</v>
      </c>
      <c r="C26" s="28">
        <f>AVERAGE(C2:C23)</f>
        <v>2.2727272727272729</v>
      </c>
      <c r="D26" s="28">
        <f>AVERAGE(D2:D23)</f>
        <v>4.5454545454545459</v>
      </c>
      <c r="E26" s="29">
        <f>AVERAGE(E2:E23)</f>
        <v>10.545454545454545</v>
      </c>
      <c r="F26" s="30">
        <f>AVERAGE(F2:F23)</f>
        <v>18.545454545454547</v>
      </c>
      <c r="G26" s="17" t="s">
        <v>32</v>
      </c>
      <c r="H26" s="18">
        <f>SUM(B25*1,C25*2,D25*3,E25*4,F25*5)/H25</f>
        <v>4.0116822429906538</v>
      </c>
    </row>
    <row r="27" spans="1:9" ht="15" thickBot="1">
      <c r="G27" s="31" t="s">
        <v>33</v>
      </c>
      <c r="H27" s="32">
        <f>'SEMANA 17'!H26</f>
        <v>3.9813333333333332</v>
      </c>
      <c r="I27" s="33" t="str">
        <f>_xlfn.CONCAT("", (H26-H27)/H27, "%")</f>
        <v>0,007622800483252%</v>
      </c>
    </row>
  </sheetData>
  <mergeCells count="7">
    <mergeCell ref="H14:H17"/>
    <mergeCell ref="H18:H21"/>
    <mergeCell ref="H22:H23"/>
    <mergeCell ref="G24:H24"/>
    <mergeCell ref="H2:H5"/>
    <mergeCell ref="H6:H9"/>
    <mergeCell ref="H10:H13"/>
  </mergeCell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5D58A-130F-47D3-9D94-68917685A4CF}">
  <dimension ref="A1:I27"/>
  <sheetViews>
    <sheetView workbookViewId="0">
      <selection activeCell="H28" sqref="H28"/>
    </sheetView>
  </sheetViews>
  <sheetFormatPr defaultRowHeight="14.45"/>
  <cols>
    <col min="1" max="1" width="24.42578125" customWidth="1"/>
    <col min="2" max="2" width="4.140625" bestFit="1" customWidth="1"/>
    <col min="3" max="3" width="7" bestFit="1" customWidth="1"/>
    <col min="4" max="4" width="9.85546875" bestFit="1" customWidth="1"/>
    <col min="5" max="5" width="12.7109375" bestFit="1" customWidth="1"/>
    <col min="6" max="6" width="15.7109375" bestFit="1" customWidth="1"/>
    <col min="7" max="7" width="33.7109375" customWidth="1"/>
    <col min="8" max="8" width="26.85546875" bestFit="1" customWidth="1"/>
    <col min="9" max="9" width="27.7109375" customWidth="1"/>
  </cols>
  <sheetData>
    <row r="1" spans="1:8" ht="15" thickBot="1">
      <c r="B1" s="4" t="s">
        <v>0</v>
      </c>
      <c r="C1" s="5" t="s">
        <v>1</v>
      </c>
      <c r="D1" s="6" t="s">
        <v>2</v>
      </c>
      <c r="E1" s="7" t="s">
        <v>3</v>
      </c>
      <c r="F1" s="8" t="s">
        <v>4</v>
      </c>
      <c r="G1" s="2" t="s">
        <v>5</v>
      </c>
      <c r="H1" s="3" t="s">
        <v>6</v>
      </c>
    </row>
    <row r="2" spans="1:8">
      <c r="A2" s="39" t="s">
        <v>7</v>
      </c>
      <c r="B2" s="40">
        <v>2</v>
      </c>
      <c r="C2" s="40">
        <v>0</v>
      </c>
      <c r="D2" s="40">
        <v>7</v>
      </c>
      <c r="E2" s="40">
        <v>14</v>
      </c>
      <c r="F2" s="40">
        <v>21</v>
      </c>
      <c r="G2" s="41">
        <f>SUM(B2:F2)</f>
        <v>44</v>
      </c>
      <c r="H2" s="72">
        <f>SUM(G2:G5)</f>
        <v>87</v>
      </c>
    </row>
    <row r="3" spans="1:8">
      <c r="A3" s="42" t="s">
        <v>8</v>
      </c>
      <c r="B3" s="34">
        <v>0</v>
      </c>
      <c r="C3" s="34">
        <v>0</v>
      </c>
      <c r="D3" s="34">
        <v>0</v>
      </c>
      <c r="E3" s="34">
        <v>6</v>
      </c>
      <c r="F3" s="34">
        <v>1</v>
      </c>
      <c r="G3" s="35">
        <f>SUM(B3:F3)</f>
        <v>7</v>
      </c>
      <c r="H3" s="73"/>
    </row>
    <row r="4" spans="1:8">
      <c r="A4" s="42" t="s">
        <v>9</v>
      </c>
      <c r="B4" s="34">
        <v>2</v>
      </c>
      <c r="C4" s="34">
        <v>2</v>
      </c>
      <c r="D4" s="34">
        <v>2</v>
      </c>
      <c r="E4" s="34">
        <v>15</v>
      </c>
      <c r="F4" s="34">
        <v>5</v>
      </c>
      <c r="G4" s="35">
        <f t="shared" ref="G4:G22" si="0">SUM(B4:F4)</f>
        <v>26</v>
      </c>
      <c r="H4" s="73"/>
    </row>
    <row r="5" spans="1:8" ht="15" thickBot="1">
      <c r="A5" s="43" t="s">
        <v>10</v>
      </c>
      <c r="B5" s="44">
        <v>0</v>
      </c>
      <c r="C5" s="44">
        <v>0</v>
      </c>
      <c r="D5" s="44">
        <v>0</v>
      </c>
      <c r="E5" s="44">
        <v>6</v>
      </c>
      <c r="F5" s="44">
        <v>4</v>
      </c>
      <c r="G5" s="45">
        <f t="shared" ref="G5" si="1">SUM(B5:F5)</f>
        <v>10</v>
      </c>
      <c r="H5" s="74"/>
    </row>
    <row r="6" spans="1:8">
      <c r="A6" s="46" t="s">
        <v>11</v>
      </c>
      <c r="B6" s="47">
        <v>4</v>
      </c>
      <c r="C6" s="47">
        <v>0</v>
      </c>
      <c r="D6" s="47">
        <v>5</v>
      </c>
      <c r="E6" s="47">
        <v>19</v>
      </c>
      <c r="F6" s="47">
        <v>21</v>
      </c>
      <c r="G6" s="48">
        <f t="shared" si="0"/>
        <v>49</v>
      </c>
      <c r="H6" s="69">
        <f>SUM(G6:G9)</f>
        <v>108</v>
      </c>
    </row>
    <row r="7" spans="1:8">
      <c r="A7" s="49" t="s">
        <v>12</v>
      </c>
      <c r="B7" s="36">
        <v>0</v>
      </c>
      <c r="C7" s="36">
        <v>0</v>
      </c>
      <c r="D7" s="36">
        <v>0</v>
      </c>
      <c r="E7" s="36">
        <v>3</v>
      </c>
      <c r="F7" s="36">
        <v>10</v>
      </c>
      <c r="G7" s="37">
        <f t="shared" ref="G7" si="2">SUM(B7:F7)</f>
        <v>13</v>
      </c>
      <c r="H7" s="70"/>
    </row>
    <row r="8" spans="1:8">
      <c r="A8" s="49" t="s">
        <v>13</v>
      </c>
      <c r="B8" s="36">
        <v>4</v>
      </c>
      <c r="C8" s="36">
        <v>1</v>
      </c>
      <c r="D8" s="36">
        <v>5</v>
      </c>
      <c r="E8" s="36">
        <v>5</v>
      </c>
      <c r="F8" s="36">
        <v>26</v>
      </c>
      <c r="G8" s="37">
        <f t="shared" ref="G8:G9" si="3">SUM(B8:F8)</f>
        <v>41</v>
      </c>
      <c r="H8" s="70"/>
    </row>
    <row r="9" spans="1:8" ht="15" thickBot="1">
      <c r="A9" s="50" t="s">
        <v>14</v>
      </c>
      <c r="B9" s="51">
        <v>0</v>
      </c>
      <c r="C9" s="51">
        <v>0</v>
      </c>
      <c r="D9" s="51">
        <v>0</v>
      </c>
      <c r="E9" s="51">
        <v>3</v>
      </c>
      <c r="F9" s="51">
        <v>2</v>
      </c>
      <c r="G9" s="52">
        <f t="shared" si="3"/>
        <v>5</v>
      </c>
      <c r="H9" s="71"/>
    </row>
    <row r="10" spans="1:8">
      <c r="A10" s="53" t="s">
        <v>15</v>
      </c>
      <c r="B10" s="54">
        <v>6</v>
      </c>
      <c r="C10" s="54">
        <v>8</v>
      </c>
      <c r="D10" s="54">
        <v>18</v>
      </c>
      <c r="E10" s="54">
        <v>22</v>
      </c>
      <c r="F10" s="54">
        <v>11</v>
      </c>
      <c r="G10" s="41">
        <f t="shared" si="0"/>
        <v>65</v>
      </c>
      <c r="H10" s="72">
        <f>SUM(G10:G13)</f>
        <v>119</v>
      </c>
    </row>
    <row r="11" spans="1:8">
      <c r="A11" s="55" t="s">
        <v>16</v>
      </c>
      <c r="B11" s="38">
        <v>1</v>
      </c>
      <c r="C11" s="38">
        <v>1</v>
      </c>
      <c r="D11" s="38">
        <v>12</v>
      </c>
      <c r="E11" s="38">
        <v>8</v>
      </c>
      <c r="F11" s="38">
        <v>2</v>
      </c>
      <c r="G11" s="35">
        <f t="shared" ref="G11" si="4">SUM(B11:F11)</f>
        <v>24</v>
      </c>
      <c r="H11" s="73"/>
    </row>
    <row r="12" spans="1:8">
      <c r="A12" s="55" t="s">
        <v>17</v>
      </c>
      <c r="B12" s="38">
        <v>1</v>
      </c>
      <c r="C12" s="38">
        <v>1</v>
      </c>
      <c r="D12" s="38">
        <v>0</v>
      </c>
      <c r="E12" s="38">
        <v>5</v>
      </c>
      <c r="F12" s="38">
        <v>11</v>
      </c>
      <c r="G12" s="35">
        <f t="shared" ref="G12:G13" si="5">SUM(B12:F12)</f>
        <v>18</v>
      </c>
      <c r="H12" s="73"/>
    </row>
    <row r="13" spans="1:8" ht="15" thickBot="1">
      <c r="A13" s="56" t="s">
        <v>18</v>
      </c>
      <c r="B13" s="57">
        <v>0</v>
      </c>
      <c r="C13" s="57">
        <v>0</v>
      </c>
      <c r="D13" s="57">
        <v>0</v>
      </c>
      <c r="E13" s="57">
        <v>9</v>
      </c>
      <c r="F13" s="57">
        <v>3</v>
      </c>
      <c r="G13" s="45">
        <f t="shared" si="5"/>
        <v>12</v>
      </c>
      <c r="H13" s="74"/>
    </row>
    <row r="14" spans="1:8">
      <c r="A14" s="46" t="s">
        <v>19</v>
      </c>
      <c r="B14" s="47"/>
      <c r="C14" s="47"/>
      <c r="D14" s="47"/>
      <c r="E14" s="47"/>
      <c r="F14" s="47"/>
      <c r="G14" s="48">
        <f t="shared" si="0"/>
        <v>0</v>
      </c>
      <c r="H14" s="69">
        <f>SUM(G14:G17)</f>
        <v>0</v>
      </c>
    </row>
    <row r="15" spans="1:8">
      <c r="A15" s="49" t="s">
        <v>20</v>
      </c>
      <c r="B15" s="36"/>
      <c r="C15" s="36"/>
      <c r="D15" s="36"/>
      <c r="E15" s="36"/>
      <c r="F15" s="36"/>
      <c r="G15" s="37">
        <f t="shared" ref="G15" si="6">SUM(B15:F15)</f>
        <v>0</v>
      </c>
      <c r="H15" s="70"/>
    </row>
    <row r="16" spans="1:8">
      <c r="A16" s="49" t="s">
        <v>21</v>
      </c>
      <c r="B16" s="36"/>
      <c r="C16" s="36"/>
      <c r="D16" s="36"/>
      <c r="E16" s="36"/>
      <c r="F16" s="36"/>
      <c r="G16" s="37">
        <f t="shared" ref="G16:G17" si="7">SUM(B16:F16)</f>
        <v>0</v>
      </c>
      <c r="H16" s="70"/>
    </row>
    <row r="17" spans="1:9" ht="15" thickBot="1">
      <c r="A17" s="50" t="s">
        <v>22</v>
      </c>
      <c r="B17" s="51"/>
      <c r="C17" s="51"/>
      <c r="D17" s="51"/>
      <c r="E17" s="51"/>
      <c r="F17" s="51"/>
      <c r="G17" s="52">
        <f t="shared" si="7"/>
        <v>0</v>
      </c>
      <c r="H17" s="71"/>
    </row>
    <row r="18" spans="1:9">
      <c r="A18" s="53" t="s">
        <v>23</v>
      </c>
      <c r="B18" s="54"/>
      <c r="C18" s="54"/>
      <c r="D18" s="54"/>
      <c r="E18" s="54"/>
      <c r="F18" s="54"/>
      <c r="G18" s="41">
        <f t="shared" si="0"/>
        <v>0</v>
      </c>
      <c r="H18" s="72">
        <f>SUM(G18:G21)</f>
        <v>0</v>
      </c>
    </row>
    <row r="19" spans="1:9">
      <c r="A19" s="55" t="s">
        <v>24</v>
      </c>
      <c r="B19" s="38"/>
      <c r="C19" s="38"/>
      <c r="D19" s="38"/>
      <c r="E19" s="38"/>
      <c r="F19" s="38"/>
      <c r="G19" s="35">
        <f t="shared" ref="G19" si="8">SUM(B19:F19)</f>
        <v>0</v>
      </c>
      <c r="H19" s="73"/>
    </row>
    <row r="20" spans="1:9">
      <c r="A20" s="55" t="s">
        <v>25</v>
      </c>
      <c r="B20" s="38"/>
      <c r="C20" s="38"/>
      <c r="D20" s="38"/>
      <c r="E20" s="38"/>
      <c r="F20" s="38"/>
      <c r="G20" s="35">
        <f t="shared" ref="G20:G21" si="9">SUM(B20:F20)</f>
        <v>0</v>
      </c>
      <c r="H20" s="73"/>
    </row>
    <row r="21" spans="1:9" ht="15" thickBot="1">
      <c r="A21" s="56" t="s">
        <v>26</v>
      </c>
      <c r="B21" s="57"/>
      <c r="C21" s="57"/>
      <c r="D21" s="57"/>
      <c r="E21" s="57"/>
      <c r="F21" s="57"/>
      <c r="G21" s="45">
        <f t="shared" si="9"/>
        <v>0</v>
      </c>
      <c r="H21" s="74"/>
    </row>
    <row r="22" spans="1:9">
      <c r="A22" s="58" t="s">
        <v>27</v>
      </c>
      <c r="B22" s="47"/>
      <c r="C22" s="47"/>
      <c r="D22" s="47"/>
      <c r="E22" s="47"/>
      <c r="F22" s="47"/>
      <c r="G22" s="48">
        <f t="shared" si="0"/>
        <v>0</v>
      </c>
      <c r="H22" s="75">
        <f>SUM(G22:G24)</f>
        <v>0</v>
      </c>
    </row>
    <row r="23" spans="1:9" ht="15" thickBot="1">
      <c r="A23" s="59" t="s">
        <v>28</v>
      </c>
      <c r="B23" s="51"/>
      <c r="C23" s="51"/>
      <c r="D23" s="51"/>
      <c r="E23" s="51"/>
      <c r="F23" s="51"/>
      <c r="G23" s="52">
        <f t="shared" ref="G23" si="10">SUM(B23:F23)</f>
        <v>0</v>
      </c>
      <c r="H23" s="76"/>
    </row>
    <row r="24" spans="1:9" ht="15" thickBot="1">
      <c r="A24" s="15"/>
      <c r="B24" s="1"/>
      <c r="C24" s="1"/>
      <c r="D24" s="1"/>
      <c r="E24" s="1"/>
      <c r="F24" s="1"/>
      <c r="G24" s="77"/>
      <c r="H24" s="77"/>
    </row>
    <row r="25" spans="1:9" ht="15" thickBot="1">
      <c r="A25" s="26" t="s">
        <v>29</v>
      </c>
      <c r="B25" s="21">
        <f>SUM(B2:B23)</f>
        <v>20</v>
      </c>
      <c r="C25" s="22">
        <f>SUM(C2:C23)</f>
        <v>13</v>
      </c>
      <c r="D25" s="22">
        <f>SUM(D2:D23)</f>
        <v>49</v>
      </c>
      <c r="E25" s="23">
        <f>SUM(E2:E23)</f>
        <v>115</v>
      </c>
      <c r="F25" s="24">
        <f>SUM(F2:F22)</f>
        <v>117</v>
      </c>
      <c r="G25" s="16" t="s">
        <v>30</v>
      </c>
      <c r="H25" s="19">
        <f>SUM(G2:G23)</f>
        <v>314</v>
      </c>
    </row>
    <row r="26" spans="1:9" ht="15" thickBot="1">
      <c r="A26" s="25" t="s">
        <v>31</v>
      </c>
      <c r="B26" s="27">
        <f>AVERAGE(B2:B23)</f>
        <v>1.6666666666666667</v>
      </c>
      <c r="C26" s="28">
        <f>AVERAGE(C2:C23)</f>
        <v>1.0833333333333333</v>
      </c>
      <c r="D26" s="28">
        <f>AVERAGE(D2:D23)</f>
        <v>4.083333333333333</v>
      </c>
      <c r="E26" s="29">
        <f>AVERAGE(E2:E23)</f>
        <v>9.5833333333333339</v>
      </c>
      <c r="F26" s="30">
        <f>AVERAGE(F2:F23)</f>
        <v>9.75</v>
      </c>
      <c r="G26" s="17" t="s">
        <v>32</v>
      </c>
      <c r="H26" s="18">
        <f>SUM(B25*1,C25*2,D25*3,E25*4,F25*5)/H25</f>
        <v>3.9426751592356686</v>
      </c>
    </row>
    <row r="27" spans="1:9" ht="15" thickBot="1">
      <c r="G27" s="31" t="s">
        <v>33</v>
      </c>
      <c r="H27" s="32">
        <f>'SEMANA 21'!H26</f>
        <v>4.0116822429906538</v>
      </c>
      <c r="I27" s="33" t="str">
        <f>_xlfn.CONCAT("", (H26-H27)/H27, "%")</f>
        <v>-0,0172015328172007%</v>
      </c>
    </row>
  </sheetData>
  <mergeCells count="7">
    <mergeCell ref="G24:H24"/>
    <mergeCell ref="H2:H5"/>
    <mergeCell ref="H6:H9"/>
    <mergeCell ref="H10:H13"/>
    <mergeCell ref="H14:H17"/>
    <mergeCell ref="H18:H21"/>
    <mergeCell ref="H22:H23"/>
  </mergeCells>
  <phoneticPr fontId="4" type="noConversion"/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ECDE5-53BA-4DEF-9ACB-11CCB35D67BC}">
  <dimension ref="A1:I27"/>
  <sheetViews>
    <sheetView workbookViewId="0">
      <selection activeCell="F29" sqref="F29"/>
    </sheetView>
  </sheetViews>
  <sheetFormatPr defaultRowHeight="14.45"/>
  <cols>
    <col min="1" max="1" width="24.42578125" customWidth="1"/>
    <col min="2" max="2" width="4.140625" bestFit="1" customWidth="1"/>
    <col min="3" max="3" width="7" bestFit="1" customWidth="1"/>
    <col min="4" max="4" width="9.85546875" bestFit="1" customWidth="1"/>
    <col min="5" max="5" width="12.7109375" bestFit="1" customWidth="1"/>
    <col min="6" max="6" width="15.7109375" bestFit="1" customWidth="1"/>
    <col min="7" max="7" width="33.7109375" customWidth="1"/>
    <col min="8" max="8" width="26.85546875" bestFit="1" customWidth="1"/>
    <col min="9" max="9" width="27.7109375" customWidth="1"/>
  </cols>
  <sheetData>
    <row r="1" spans="1:8" ht="15" thickBot="1">
      <c r="B1" s="4" t="s">
        <v>0</v>
      </c>
      <c r="C1" s="5" t="s">
        <v>1</v>
      </c>
      <c r="D1" s="6" t="s">
        <v>2</v>
      </c>
      <c r="E1" s="7" t="s">
        <v>3</v>
      </c>
      <c r="F1" s="8" t="s">
        <v>4</v>
      </c>
      <c r="G1" s="2" t="s">
        <v>5</v>
      </c>
      <c r="H1" s="3" t="s">
        <v>6</v>
      </c>
    </row>
    <row r="2" spans="1:8">
      <c r="A2" s="39" t="s">
        <v>7</v>
      </c>
      <c r="B2" s="40">
        <v>0</v>
      </c>
      <c r="C2" s="40">
        <v>0</v>
      </c>
      <c r="D2" s="40">
        <v>6</v>
      </c>
      <c r="E2" s="40">
        <v>17</v>
      </c>
      <c r="F2" s="40">
        <v>22</v>
      </c>
      <c r="G2" s="41">
        <f>SUM(B2:F2)</f>
        <v>45</v>
      </c>
      <c r="H2" s="72">
        <f>SUM(G2:G5)</f>
        <v>125</v>
      </c>
    </row>
    <row r="3" spans="1:8">
      <c r="A3" s="42" t="s">
        <v>8</v>
      </c>
      <c r="B3" s="34">
        <v>1</v>
      </c>
      <c r="C3" s="34">
        <v>0</v>
      </c>
      <c r="D3" s="34">
        <v>4</v>
      </c>
      <c r="E3" s="34">
        <v>11</v>
      </c>
      <c r="F3" s="34">
        <v>6</v>
      </c>
      <c r="G3" s="35">
        <f>SUM(B3:F3)</f>
        <v>22</v>
      </c>
      <c r="H3" s="73"/>
    </row>
    <row r="4" spans="1:8">
      <c r="A4" s="42" t="s">
        <v>9</v>
      </c>
      <c r="B4" s="34">
        <v>2</v>
      </c>
      <c r="C4" s="34">
        <v>5</v>
      </c>
      <c r="D4" s="34">
        <v>9</v>
      </c>
      <c r="E4" s="34">
        <v>11</v>
      </c>
      <c r="F4" s="34">
        <v>11</v>
      </c>
      <c r="G4" s="35">
        <f t="shared" ref="G4:G23" si="0">SUM(B4:F4)</f>
        <v>38</v>
      </c>
      <c r="H4" s="73"/>
    </row>
    <row r="5" spans="1:8" ht="15" thickBot="1">
      <c r="A5" s="43" t="s">
        <v>10</v>
      </c>
      <c r="B5" s="44">
        <v>0</v>
      </c>
      <c r="C5" s="44">
        <v>1</v>
      </c>
      <c r="D5" s="44">
        <v>4</v>
      </c>
      <c r="E5" s="44">
        <v>3</v>
      </c>
      <c r="F5" s="44">
        <v>12</v>
      </c>
      <c r="G5" s="45">
        <f t="shared" si="0"/>
        <v>20</v>
      </c>
      <c r="H5" s="74"/>
    </row>
    <row r="6" spans="1:8">
      <c r="A6" s="46" t="s">
        <v>11</v>
      </c>
      <c r="B6" s="47">
        <v>0</v>
      </c>
      <c r="C6" s="47">
        <v>0</v>
      </c>
      <c r="D6" s="47">
        <v>16</v>
      </c>
      <c r="E6" s="47">
        <v>8</v>
      </c>
      <c r="F6" s="47">
        <v>17</v>
      </c>
      <c r="G6" s="48">
        <f t="shared" si="0"/>
        <v>41</v>
      </c>
      <c r="H6" s="69">
        <f>SUM(G6:G9)</f>
        <v>122</v>
      </c>
    </row>
    <row r="7" spans="1:8">
      <c r="A7" s="49" t="s">
        <v>12</v>
      </c>
      <c r="B7" s="36">
        <v>1</v>
      </c>
      <c r="C7" s="36">
        <v>0</v>
      </c>
      <c r="D7" s="36">
        <v>2</v>
      </c>
      <c r="E7" s="36">
        <v>6</v>
      </c>
      <c r="F7" s="36">
        <v>14</v>
      </c>
      <c r="G7" s="37">
        <f t="shared" si="0"/>
        <v>23</v>
      </c>
      <c r="H7" s="70"/>
    </row>
    <row r="8" spans="1:8">
      <c r="A8" s="49" t="s">
        <v>13</v>
      </c>
      <c r="B8" s="36">
        <v>24</v>
      </c>
      <c r="C8" s="36">
        <v>5</v>
      </c>
      <c r="D8" s="36">
        <v>2</v>
      </c>
      <c r="E8" s="36">
        <v>6</v>
      </c>
      <c r="F8" s="36">
        <v>5</v>
      </c>
      <c r="G8" s="37">
        <f t="shared" si="0"/>
        <v>42</v>
      </c>
      <c r="H8" s="70"/>
    </row>
    <row r="9" spans="1:8" ht="15" thickBot="1">
      <c r="A9" s="50" t="s">
        <v>14</v>
      </c>
      <c r="B9" s="51">
        <v>9</v>
      </c>
      <c r="C9" s="51">
        <v>0</v>
      </c>
      <c r="D9" s="51">
        <v>2</v>
      </c>
      <c r="E9" s="51">
        <v>1</v>
      </c>
      <c r="F9" s="51">
        <v>4</v>
      </c>
      <c r="G9" s="52">
        <f t="shared" si="0"/>
        <v>16</v>
      </c>
      <c r="H9" s="71"/>
    </row>
    <row r="10" spans="1:8">
      <c r="A10" s="53" t="s">
        <v>15</v>
      </c>
      <c r="B10" s="54">
        <v>4</v>
      </c>
      <c r="C10" s="54">
        <v>12</v>
      </c>
      <c r="D10" s="54">
        <v>21</v>
      </c>
      <c r="E10" s="54">
        <v>8</v>
      </c>
      <c r="F10" s="54">
        <v>17</v>
      </c>
      <c r="G10" s="41">
        <f t="shared" si="0"/>
        <v>62</v>
      </c>
      <c r="H10" s="72">
        <f>SUM(G10:G13)</f>
        <v>151</v>
      </c>
    </row>
    <row r="11" spans="1:8">
      <c r="A11" s="55" t="s">
        <v>16</v>
      </c>
      <c r="B11" s="38">
        <v>2</v>
      </c>
      <c r="C11" s="38">
        <v>1</v>
      </c>
      <c r="D11" s="38">
        <v>8</v>
      </c>
      <c r="E11" s="38">
        <v>11</v>
      </c>
      <c r="F11" s="38">
        <v>3</v>
      </c>
      <c r="G11" s="35">
        <f t="shared" si="0"/>
        <v>25</v>
      </c>
      <c r="H11" s="73"/>
    </row>
    <row r="12" spans="1:8">
      <c r="A12" s="55" t="s">
        <v>17</v>
      </c>
      <c r="B12" s="38">
        <v>1</v>
      </c>
      <c r="C12" s="38">
        <v>1</v>
      </c>
      <c r="D12" s="38">
        <v>6</v>
      </c>
      <c r="E12" s="38">
        <v>13</v>
      </c>
      <c r="F12" s="38">
        <v>26</v>
      </c>
      <c r="G12" s="35">
        <f t="shared" si="0"/>
        <v>47</v>
      </c>
      <c r="H12" s="73"/>
    </row>
    <row r="13" spans="1:8" ht="15" thickBot="1">
      <c r="A13" s="56" t="s">
        <v>18</v>
      </c>
      <c r="B13" s="57">
        <v>0</v>
      </c>
      <c r="C13" s="57">
        <v>0</v>
      </c>
      <c r="D13" s="57">
        <v>1</v>
      </c>
      <c r="E13" s="57">
        <v>9</v>
      </c>
      <c r="F13" s="57">
        <v>7</v>
      </c>
      <c r="G13" s="45">
        <f t="shared" si="0"/>
        <v>17</v>
      </c>
      <c r="H13" s="74"/>
    </row>
    <row r="14" spans="1:8">
      <c r="A14" s="46" t="s">
        <v>19</v>
      </c>
      <c r="B14" s="47">
        <v>2</v>
      </c>
      <c r="C14" s="47">
        <v>0</v>
      </c>
      <c r="D14" s="47">
        <v>10</v>
      </c>
      <c r="E14" s="47">
        <v>11</v>
      </c>
      <c r="F14" s="47">
        <v>34</v>
      </c>
      <c r="G14" s="48">
        <f t="shared" si="0"/>
        <v>57</v>
      </c>
      <c r="H14" s="69">
        <f>SUM(G14:G17)</f>
        <v>148</v>
      </c>
    </row>
    <row r="15" spans="1:8">
      <c r="A15" s="49" t="s">
        <v>20</v>
      </c>
      <c r="B15" s="36">
        <v>0</v>
      </c>
      <c r="C15" s="36">
        <v>0</v>
      </c>
      <c r="D15" s="36">
        <v>7</v>
      </c>
      <c r="E15" s="36">
        <v>12</v>
      </c>
      <c r="F15" s="36">
        <v>13</v>
      </c>
      <c r="G15" s="37">
        <f t="shared" si="0"/>
        <v>32</v>
      </c>
      <c r="H15" s="70"/>
    </row>
    <row r="16" spans="1:8">
      <c r="A16" s="49" t="s">
        <v>21</v>
      </c>
      <c r="B16" s="36">
        <v>5</v>
      </c>
      <c r="C16" s="36">
        <v>4</v>
      </c>
      <c r="D16" s="36">
        <v>11</v>
      </c>
      <c r="E16" s="36">
        <v>18</v>
      </c>
      <c r="F16" s="36">
        <v>8</v>
      </c>
      <c r="G16" s="37">
        <f t="shared" si="0"/>
        <v>46</v>
      </c>
      <c r="H16" s="70"/>
    </row>
    <row r="17" spans="1:9" ht="15" thickBot="1">
      <c r="A17" s="50" t="s">
        <v>22</v>
      </c>
      <c r="B17" s="51">
        <v>1</v>
      </c>
      <c r="C17" s="51">
        <v>2</v>
      </c>
      <c r="D17" s="51">
        <v>2</v>
      </c>
      <c r="E17" s="51">
        <v>3</v>
      </c>
      <c r="F17" s="51">
        <v>5</v>
      </c>
      <c r="G17" s="52">
        <f t="shared" si="0"/>
        <v>13</v>
      </c>
      <c r="H17" s="71"/>
    </row>
    <row r="18" spans="1:9">
      <c r="A18" s="53" t="s">
        <v>23</v>
      </c>
      <c r="B18" s="54">
        <v>2</v>
      </c>
      <c r="C18" s="54">
        <v>3</v>
      </c>
      <c r="D18" s="54">
        <v>6</v>
      </c>
      <c r="E18" s="54">
        <v>11</v>
      </c>
      <c r="F18" s="54">
        <v>6</v>
      </c>
      <c r="G18" s="41">
        <f t="shared" si="0"/>
        <v>28</v>
      </c>
      <c r="H18" s="72">
        <f>SUM(G18:G21)</f>
        <v>80</v>
      </c>
    </row>
    <row r="19" spans="1:9">
      <c r="A19" s="55" t="s">
        <v>24</v>
      </c>
      <c r="B19" s="38">
        <v>0</v>
      </c>
      <c r="C19" s="38">
        <v>0</v>
      </c>
      <c r="D19" s="38">
        <v>4</v>
      </c>
      <c r="E19" s="38">
        <v>10</v>
      </c>
      <c r="F19" s="38">
        <v>5</v>
      </c>
      <c r="G19" s="35">
        <f t="shared" si="0"/>
        <v>19</v>
      </c>
      <c r="H19" s="73"/>
    </row>
    <row r="20" spans="1:9">
      <c r="A20" s="55" t="s">
        <v>25</v>
      </c>
      <c r="B20" s="38">
        <v>1</v>
      </c>
      <c r="C20" s="38">
        <v>0</v>
      </c>
      <c r="D20" s="38">
        <v>2</v>
      </c>
      <c r="E20" s="38">
        <v>3</v>
      </c>
      <c r="F20" s="38">
        <v>14</v>
      </c>
      <c r="G20" s="35">
        <f t="shared" si="0"/>
        <v>20</v>
      </c>
      <c r="H20" s="73"/>
    </row>
    <row r="21" spans="1:9" ht="15" thickBot="1">
      <c r="A21" s="56" t="s">
        <v>26</v>
      </c>
      <c r="B21" s="57">
        <v>0</v>
      </c>
      <c r="C21" s="57">
        <v>0</v>
      </c>
      <c r="D21" s="57">
        <v>7</v>
      </c>
      <c r="E21" s="57">
        <v>0</v>
      </c>
      <c r="F21" s="57">
        <v>6</v>
      </c>
      <c r="G21" s="45">
        <f t="shared" si="0"/>
        <v>13</v>
      </c>
      <c r="H21" s="74"/>
    </row>
    <row r="22" spans="1:9">
      <c r="A22" s="58" t="s">
        <v>27</v>
      </c>
      <c r="B22" s="47">
        <v>0</v>
      </c>
      <c r="C22" s="47">
        <v>0</v>
      </c>
      <c r="D22" s="47">
        <v>0</v>
      </c>
      <c r="E22" s="47">
        <v>9</v>
      </c>
      <c r="F22" s="47">
        <v>18</v>
      </c>
      <c r="G22" s="48">
        <f t="shared" si="0"/>
        <v>27</v>
      </c>
      <c r="H22" s="75">
        <f>SUM(G22:G24)</f>
        <v>36</v>
      </c>
    </row>
    <row r="23" spans="1:9" ht="15" thickBot="1">
      <c r="A23" s="59" t="s">
        <v>28</v>
      </c>
      <c r="B23" s="51">
        <v>0</v>
      </c>
      <c r="C23" s="51">
        <v>0</v>
      </c>
      <c r="D23" s="51">
        <v>2</v>
      </c>
      <c r="E23" s="51">
        <v>3</v>
      </c>
      <c r="F23" s="51">
        <v>4</v>
      </c>
      <c r="G23" s="52">
        <f t="shared" si="0"/>
        <v>9</v>
      </c>
      <c r="H23" s="76"/>
    </row>
    <row r="24" spans="1:9" ht="15" thickBot="1">
      <c r="A24" s="15"/>
      <c r="B24" s="1"/>
      <c r="C24" s="1"/>
      <c r="D24" s="1"/>
      <c r="E24" s="1"/>
      <c r="F24" s="1"/>
      <c r="G24" s="77"/>
      <c r="H24" s="77"/>
    </row>
    <row r="25" spans="1:9" ht="15" thickBot="1">
      <c r="A25" s="26" t="s">
        <v>29</v>
      </c>
      <c r="B25" s="21">
        <f>SUM(B2:B23)</f>
        <v>55</v>
      </c>
      <c r="C25" s="22">
        <f>SUM(C2:C23)</f>
        <v>34</v>
      </c>
      <c r="D25" s="22">
        <f>SUM(D2:D23)</f>
        <v>132</v>
      </c>
      <c r="E25" s="23">
        <f>SUM(E2:E23)</f>
        <v>184</v>
      </c>
      <c r="F25" s="24">
        <f>SUM(F2:F23)</f>
        <v>257</v>
      </c>
      <c r="G25" s="16" t="s">
        <v>30</v>
      </c>
      <c r="H25" s="19">
        <f>SUM(G2:G23)</f>
        <v>662</v>
      </c>
    </row>
    <row r="26" spans="1:9" ht="15" thickBot="1">
      <c r="A26" s="25" t="s">
        <v>31</v>
      </c>
      <c r="B26" s="27">
        <f>AVERAGE(B2:B23)</f>
        <v>2.5</v>
      </c>
      <c r="C26" s="28">
        <f>AVERAGE(C2:C23)</f>
        <v>1.5454545454545454</v>
      </c>
      <c r="D26" s="28">
        <f>AVERAGE(D2:D23)</f>
        <v>6</v>
      </c>
      <c r="E26" s="29">
        <f>AVERAGE(E2:E23)</f>
        <v>8.3636363636363633</v>
      </c>
      <c r="F26" s="30">
        <f>AVERAGE(F2:F23)</f>
        <v>11.681818181818182</v>
      </c>
      <c r="G26" s="17" t="s">
        <v>32</v>
      </c>
      <c r="H26" s="18">
        <f>SUM(B25*1,C25*2,D25*3,E25*4,F25*5)/H25</f>
        <v>3.8368580060422959</v>
      </c>
    </row>
    <row r="27" spans="1:9" ht="15" thickBot="1">
      <c r="G27" s="31" t="s">
        <v>33</v>
      </c>
      <c r="H27" s="32">
        <f>'SEMANA 22'!H26</f>
        <v>3.9426751592356686</v>
      </c>
      <c r="I27" s="33" t="str">
        <f>_xlfn.CONCAT("", (H26-H27)/H27, "%")</f>
        <v>-0,0268389225385453%</v>
      </c>
    </row>
  </sheetData>
  <mergeCells count="7">
    <mergeCell ref="G24:H24"/>
    <mergeCell ref="H2:H5"/>
    <mergeCell ref="H6:H9"/>
    <mergeCell ref="H10:H13"/>
    <mergeCell ref="H14:H17"/>
    <mergeCell ref="H18:H21"/>
    <mergeCell ref="H22:H23"/>
  </mergeCells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46CD0-9BEA-425F-BF2E-A0A0FD271EC8}">
  <dimension ref="A1:I27"/>
  <sheetViews>
    <sheetView zoomScaleNormal="100" workbookViewId="0">
      <selection activeCell="M27" sqref="M27"/>
    </sheetView>
  </sheetViews>
  <sheetFormatPr defaultRowHeight="14.45"/>
  <cols>
    <col min="1" max="1" width="24.42578125" customWidth="1"/>
    <col min="2" max="2" width="4.140625" bestFit="1" customWidth="1"/>
    <col min="3" max="3" width="7" bestFit="1" customWidth="1"/>
    <col min="4" max="4" width="9.85546875" bestFit="1" customWidth="1"/>
    <col min="5" max="5" width="12.7109375" bestFit="1" customWidth="1"/>
    <col min="6" max="6" width="15.7109375" bestFit="1" customWidth="1"/>
    <col min="7" max="7" width="33.7109375" customWidth="1"/>
    <col min="8" max="8" width="26.85546875" bestFit="1" customWidth="1"/>
    <col min="9" max="9" width="27.7109375" customWidth="1"/>
  </cols>
  <sheetData>
    <row r="1" spans="1:8" ht="15" thickBot="1">
      <c r="B1" s="4" t="s">
        <v>0</v>
      </c>
      <c r="C1" s="5" t="s">
        <v>1</v>
      </c>
      <c r="D1" s="6" t="s">
        <v>2</v>
      </c>
      <c r="E1" s="7" t="s">
        <v>3</v>
      </c>
      <c r="F1" s="8" t="s">
        <v>4</v>
      </c>
      <c r="G1" s="2" t="s">
        <v>5</v>
      </c>
      <c r="H1" s="3" t="s">
        <v>6</v>
      </c>
    </row>
    <row r="2" spans="1:8">
      <c r="A2" s="39" t="s">
        <v>7</v>
      </c>
      <c r="B2" s="40">
        <v>1</v>
      </c>
      <c r="C2" s="40">
        <v>2</v>
      </c>
      <c r="D2" s="40">
        <v>12</v>
      </c>
      <c r="E2" s="40">
        <v>17</v>
      </c>
      <c r="F2" s="40">
        <v>17</v>
      </c>
      <c r="G2" s="41">
        <f>SUM(B2:F2)</f>
        <v>49</v>
      </c>
      <c r="H2" s="78">
        <f>SUM(G2:G5)</f>
        <v>106</v>
      </c>
    </row>
    <row r="3" spans="1:8">
      <c r="A3" s="42" t="s">
        <v>8</v>
      </c>
      <c r="B3" s="34">
        <v>0</v>
      </c>
      <c r="C3" s="34">
        <v>0</v>
      </c>
      <c r="D3" s="34">
        <v>11</v>
      </c>
      <c r="E3" s="34">
        <v>11</v>
      </c>
      <c r="F3" s="34">
        <v>7</v>
      </c>
      <c r="G3" s="35">
        <f>SUM(B3:F3)</f>
        <v>29</v>
      </c>
      <c r="H3" s="79"/>
    </row>
    <row r="4" spans="1:8">
      <c r="A4" s="42" t="s">
        <v>9</v>
      </c>
      <c r="B4" s="34">
        <v>2</v>
      </c>
      <c r="C4" s="34">
        <v>0</v>
      </c>
      <c r="D4" s="34">
        <v>1</v>
      </c>
      <c r="E4" s="34">
        <v>10</v>
      </c>
      <c r="F4" s="34">
        <v>15</v>
      </c>
      <c r="G4" s="35">
        <f t="shared" ref="G4:G23" si="0">SUM(B4:F4)</f>
        <v>28</v>
      </c>
      <c r="H4" s="79"/>
    </row>
    <row r="5" spans="1:8" ht="15" thickBot="1">
      <c r="A5" s="43" t="s">
        <v>10</v>
      </c>
      <c r="B5" s="44"/>
      <c r="C5" s="44"/>
      <c r="D5" s="44"/>
      <c r="E5" s="44"/>
      <c r="F5" s="44"/>
      <c r="G5" s="45">
        <f t="shared" si="0"/>
        <v>0</v>
      </c>
      <c r="H5" s="80"/>
    </row>
    <row r="6" spans="1:8">
      <c r="A6" s="46" t="s">
        <v>11</v>
      </c>
      <c r="B6" s="47">
        <v>1</v>
      </c>
      <c r="C6" s="47">
        <v>0</v>
      </c>
      <c r="D6" s="47">
        <v>3</v>
      </c>
      <c r="E6" s="47">
        <v>4</v>
      </c>
      <c r="F6" s="47">
        <v>21</v>
      </c>
      <c r="G6" s="48">
        <f t="shared" si="0"/>
        <v>29</v>
      </c>
      <c r="H6" s="69">
        <f>SUM(G6:G9)</f>
        <v>120</v>
      </c>
    </row>
    <row r="7" spans="1:8">
      <c r="A7" s="49" t="s">
        <v>12</v>
      </c>
      <c r="B7" s="36">
        <v>0</v>
      </c>
      <c r="C7" s="36">
        <v>0</v>
      </c>
      <c r="D7" s="36">
        <v>1</v>
      </c>
      <c r="E7" s="36">
        <v>3</v>
      </c>
      <c r="F7" s="36">
        <v>20</v>
      </c>
      <c r="G7" s="37">
        <f t="shared" si="0"/>
        <v>24</v>
      </c>
      <c r="H7" s="70"/>
    </row>
    <row r="8" spans="1:8">
      <c r="A8" s="49" t="s">
        <v>13</v>
      </c>
      <c r="B8" s="36">
        <v>9</v>
      </c>
      <c r="C8" s="36">
        <v>14</v>
      </c>
      <c r="D8" s="36">
        <v>7</v>
      </c>
      <c r="E8" s="36">
        <v>9</v>
      </c>
      <c r="F8" s="36">
        <v>11</v>
      </c>
      <c r="G8" s="37">
        <f t="shared" si="0"/>
        <v>50</v>
      </c>
      <c r="H8" s="70"/>
    </row>
    <row r="9" spans="1:8" ht="15" thickBot="1">
      <c r="A9" s="50" t="s">
        <v>14</v>
      </c>
      <c r="B9" s="51">
        <v>2</v>
      </c>
      <c r="C9" s="51">
        <v>9</v>
      </c>
      <c r="D9" s="51">
        <v>3</v>
      </c>
      <c r="E9" s="51">
        <v>1</v>
      </c>
      <c r="F9" s="51">
        <v>2</v>
      </c>
      <c r="G9" s="52">
        <f t="shared" si="0"/>
        <v>17</v>
      </c>
      <c r="H9" s="71"/>
    </row>
    <row r="10" spans="1:8">
      <c r="A10" s="53" t="s">
        <v>15</v>
      </c>
      <c r="B10" s="54">
        <v>2</v>
      </c>
      <c r="C10" s="54">
        <v>1</v>
      </c>
      <c r="D10" s="54">
        <v>19</v>
      </c>
      <c r="E10" s="54">
        <v>22</v>
      </c>
      <c r="F10" s="54">
        <v>11</v>
      </c>
      <c r="G10" s="41">
        <f t="shared" si="0"/>
        <v>55</v>
      </c>
      <c r="H10" s="72">
        <f>SUM(G10:G13)</f>
        <v>109</v>
      </c>
    </row>
    <row r="11" spans="1:8">
      <c r="A11" s="55" t="s">
        <v>16</v>
      </c>
      <c r="B11" s="38">
        <v>0</v>
      </c>
      <c r="C11" s="38">
        <v>0</v>
      </c>
      <c r="D11" s="38">
        <v>6</v>
      </c>
      <c r="E11" s="38">
        <v>16</v>
      </c>
      <c r="F11" s="38">
        <v>7</v>
      </c>
      <c r="G11" s="35">
        <f t="shared" si="0"/>
        <v>29</v>
      </c>
      <c r="H11" s="73"/>
    </row>
    <row r="12" spans="1:8">
      <c r="A12" s="55" t="s">
        <v>17</v>
      </c>
      <c r="B12" s="38">
        <v>2</v>
      </c>
      <c r="C12" s="38">
        <v>1</v>
      </c>
      <c r="D12" s="38">
        <v>0</v>
      </c>
      <c r="E12" s="38">
        <v>3</v>
      </c>
      <c r="F12" s="38">
        <v>9</v>
      </c>
      <c r="G12" s="35">
        <f t="shared" si="0"/>
        <v>15</v>
      </c>
      <c r="H12" s="73"/>
    </row>
    <row r="13" spans="1:8" ht="15" thickBot="1">
      <c r="A13" s="56" t="s">
        <v>18</v>
      </c>
      <c r="B13" s="57">
        <v>0</v>
      </c>
      <c r="C13" s="57">
        <v>0</v>
      </c>
      <c r="D13" s="57">
        <v>1</v>
      </c>
      <c r="E13" s="57">
        <v>2</v>
      </c>
      <c r="F13" s="57">
        <v>7</v>
      </c>
      <c r="G13" s="45">
        <f t="shared" si="0"/>
        <v>10</v>
      </c>
      <c r="H13" s="74"/>
    </row>
    <row r="14" spans="1:8">
      <c r="A14" s="46" t="s">
        <v>19</v>
      </c>
      <c r="B14" s="47">
        <v>1</v>
      </c>
      <c r="C14" s="47">
        <v>3</v>
      </c>
      <c r="D14" s="47">
        <v>1</v>
      </c>
      <c r="E14" s="47">
        <v>3</v>
      </c>
      <c r="F14" s="47">
        <v>7</v>
      </c>
      <c r="G14" s="48">
        <f t="shared" si="0"/>
        <v>15</v>
      </c>
      <c r="H14" s="69">
        <f>SUM(G14:G17)</f>
        <v>65</v>
      </c>
    </row>
    <row r="15" spans="1:8">
      <c r="A15" s="49" t="s">
        <v>20</v>
      </c>
      <c r="B15" s="36">
        <v>0</v>
      </c>
      <c r="C15" s="36">
        <v>2</v>
      </c>
      <c r="D15" s="36">
        <v>3</v>
      </c>
      <c r="E15" s="36">
        <v>1</v>
      </c>
      <c r="F15" s="36">
        <v>3</v>
      </c>
      <c r="G15" s="37">
        <f t="shared" si="0"/>
        <v>9</v>
      </c>
      <c r="H15" s="70"/>
    </row>
    <row r="16" spans="1:8">
      <c r="A16" s="49" t="s">
        <v>21</v>
      </c>
      <c r="B16" s="36">
        <v>0</v>
      </c>
      <c r="C16" s="36">
        <v>0</v>
      </c>
      <c r="D16" s="36">
        <v>1</v>
      </c>
      <c r="E16" s="36">
        <v>2</v>
      </c>
      <c r="F16" s="36">
        <v>25</v>
      </c>
      <c r="G16" s="37">
        <f t="shared" si="0"/>
        <v>28</v>
      </c>
      <c r="H16" s="70"/>
    </row>
    <row r="17" spans="1:9" ht="15" thickBot="1">
      <c r="A17" s="50" t="s">
        <v>22</v>
      </c>
      <c r="B17" s="51">
        <v>0</v>
      </c>
      <c r="C17" s="51">
        <v>0</v>
      </c>
      <c r="D17" s="51">
        <v>0</v>
      </c>
      <c r="E17" s="51">
        <v>1</v>
      </c>
      <c r="F17" s="51">
        <v>12</v>
      </c>
      <c r="G17" s="52">
        <f t="shared" si="0"/>
        <v>13</v>
      </c>
      <c r="H17" s="71"/>
    </row>
    <row r="18" spans="1:9">
      <c r="A18" s="53" t="s">
        <v>23</v>
      </c>
      <c r="B18" s="54">
        <v>0</v>
      </c>
      <c r="C18" s="54">
        <v>0</v>
      </c>
      <c r="D18" s="54">
        <v>2</v>
      </c>
      <c r="E18" s="54">
        <v>7</v>
      </c>
      <c r="F18" s="54">
        <v>15</v>
      </c>
      <c r="G18" s="41">
        <f t="shared" si="0"/>
        <v>24</v>
      </c>
      <c r="H18" s="72">
        <f>SUM(G18:G21)</f>
        <v>87</v>
      </c>
    </row>
    <row r="19" spans="1:9">
      <c r="A19" s="55" t="s">
        <v>24</v>
      </c>
      <c r="B19" s="38">
        <v>0</v>
      </c>
      <c r="C19" s="38">
        <v>0</v>
      </c>
      <c r="D19" s="38">
        <v>7</v>
      </c>
      <c r="E19" s="38">
        <v>5</v>
      </c>
      <c r="F19" s="38">
        <v>8</v>
      </c>
      <c r="G19" s="35">
        <f t="shared" si="0"/>
        <v>20</v>
      </c>
      <c r="H19" s="73"/>
    </row>
    <row r="20" spans="1:9">
      <c r="A20" s="55" t="s">
        <v>25</v>
      </c>
      <c r="B20" s="38">
        <v>0</v>
      </c>
      <c r="C20" s="38">
        <v>0</v>
      </c>
      <c r="D20" s="38">
        <v>2</v>
      </c>
      <c r="E20" s="38">
        <v>3</v>
      </c>
      <c r="F20" s="38">
        <v>25</v>
      </c>
      <c r="G20" s="35">
        <f t="shared" si="0"/>
        <v>30</v>
      </c>
      <c r="H20" s="73"/>
    </row>
    <row r="21" spans="1:9" ht="15" thickBot="1">
      <c r="A21" s="56" t="s">
        <v>26</v>
      </c>
      <c r="B21" s="57">
        <v>0</v>
      </c>
      <c r="C21" s="57">
        <v>0</v>
      </c>
      <c r="D21" s="57">
        <v>3</v>
      </c>
      <c r="E21" s="57">
        <v>3</v>
      </c>
      <c r="F21" s="57">
        <v>7</v>
      </c>
      <c r="G21" s="45">
        <f t="shared" si="0"/>
        <v>13</v>
      </c>
      <c r="H21" s="74"/>
    </row>
    <row r="22" spans="1:9">
      <c r="A22" s="58" t="s">
        <v>27</v>
      </c>
      <c r="B22" s="47">
        <v>1</v>
      </c>
      <c r="C22" s="47">
        <v>6</v>
      </c>
      <c r="D22" s="47">
        <v>4</v>
      </c>
      <c r="E22" s="47">
        <v>11</v>
      </c>
      <c r="F22" s="47">
        <v>7</v>
      </c>
      <c r="G22" s="48">
        <f t="shared" si="0"/>
        <v>29</v>
      </c>
      <c r="H22" s="75">
        <f>SUM(G22:G24)</f>
        <v>38</v>
      </c>
    </row>
    <row r="23" spans="1:9" ht="15" thickBot="1">
      <c r="A23" s="59" t="s">
        <v>28</v>
      </c>
      <c r="B23" s="51">
        <v>0</v>
      </c>
      <c r="C23" s="51">
        <v>0</v>
      </c>
      <c r="D23" s="51">
        <v>0</v>
      </c>
      <c r="E23" s="51">
        <v>6</v>
      </c>
      <c r="F23" s="51">
        <v>3</v>
      </c>
      <c r="G23" s="52">
        <f t="shared" si="0"/>
        <v>9</v>
      </c>
      <c r="H23" s="76"/>
    </row>
    <row r="24" spans="1:9" ht="15" thickBot="1">
      <c r="A24" s="15"/>
      <c r="B24" s="1"/>
      <c r="C24" s="1"/>
      <c r="D24" s="1"/>
      <c r="E24" s="1"/>
      <c r="F24" s="1"/>
      <c r="G24" s="77"/>
      <c r="H24" s="77"/>
    </row>
    <row r="25" spans="1:9" ht="15" thickBot="1">
      <c r="A25" s="26" t="s">
        <v>29</v>
      </c>
      <c r="B25" s="21">
        <f>SUM(B2:B23)</f>
        <v>21</v>
      </c>
      <c r="C25" s="22">
        <f>SUM(C2:C23)</f>
        <v>38</v>
      </c>
      <c r="D25" s="22">
        <f>SUM(D2:D23)</f>
        <v>87</v>
      </c>
      <c r="E25" s="23">
        <f>SUM(E2:E23)</f>
        <v>140</v>
      </c>
      <c r="F25" s="24">
        <f>SUM(F2:F23)</f>
        <v>239</v>
      </c>
      <c r="G25" s="16" t="s">
        <v>30</v>
      </c>
      <c r="H25" s="19">
        <f>SUM(G2:G23)</f>
        <v>525</v>
      </c>
    </row>
    <row r="26" spans="1:9" ht="15" thickBot="1">
      <c r="A26" s="25" t="s">
        <v>31</v>
      </c>
      <c r="B26" s="27">
        <f>AVERAGE(B2:B23)</f>
        <v>1</v>
      </c>
      <c r="C26" s="28">
        <f>AVERAGE(C2:C23)</f>
        <v>1.8095238095238095</v>
      </c>
      <c r="D26" s="28">
        <f>AVERAGE(D2:D23)</f>
        <v>4.1428571428571432</v>
      </c>
      <c r="E26" s="29">
        <f>AVERAGE(E2:E23)</f>
        <v>6.666666666666667</v>
      </c>
      <c r="F26" s="30">
        <f>AVERAGE(F2:F23)</f>
        <v>11.380952380952381</v>
      </c>
      <c r="G26" s="17" t="s">
        <v>32</v>
      </c>
      <c r="H26" s="18">
        <f>SUM(B25*1,C25*2,D25*3,E25*4,F25*5)/H25</f>
        <v>4.0247619047619043</v>
      </c>
    </row>
    <row r="27" spans="1:9" ht="15" thickBot="1">
      <c r="G27" s="31" t="s">
        <v>33</v>
      </c>
      <c r="H27" s="32">
        <f>'SEMANA 23'!H26</f>
        <v>3.8368580060422959</v>
      </c>
      <c r="I27" s="33" t="str">
        <f>_xlfn.CONCAT("", (H26-H27)/H27, "%")</f>
        <v>0,048973378327709%</v>
      </c>
    </row>
  </sheetData>
  <mergeCells count="7">
    <mergeCell ref="G24:H24"/>
    <mergeCell ref="H2:H5"/>
    <mergeCell ref="H6:H9"/>
    <mergeCell ref="H10:H13"/>
    <mergeCell ref="H14:H17"/>
    <mergeCell ref="H18:H21"/>
    <mergeCell ref="H22:H23"/>
  </mergeCells>
  <pageMargins left="0.511811024" right="0.511811024" top="0.78740157499999996" bottom="0.78740157499999996" header="0.31496062000000002" footer="0.31496062000000002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FE86B-E552-422C-A80A-75DDA4A6C6A1}">
  <dimension ref="A1:I27"/>
  <sheetViews>
    <sheetView topLeftCell="F1" zoomScaleNormal="100" workbookViewId="0"/>
  </sheetViews>
  <sheetFormatPr defaultRowHeight="14.45"/>
  <cols>
    <col min="1" max="1" width="24.42578125" customWidth="1"/>
    <col min="2" max="2" width="4.140625" bestFit="1" customWidth="1"/>
    <col min="3" max="3" width="7" bestFit="1" customWidth="1"/>
    <col min="4" max="4" width="9.85546875" bestFit="1" customWidth="1"/>
    <col min="5" max="5" width="12.7109375" bestFit="1" customWidth="1"/>
    <col min="6" max="6" width="15.7109375" bestFit="1" customWidth="1"/>
    <col min="7" max="7" width="33.7109375" customWidth="1"/>
    <col min="8" max="8" width="26.85546875" bestFit="1" customWidth="1"/>
    <col min="9" max="9" width="27.7109375" customWidth="1"/>
  </cols>
  <sheetData>
    <row r="1" spans="1:8" ht="15" thickBot="1">
      <c r="B1" s="4" t="s">
        <v>0</v>
      </c>
      <c r="C1" s="5" t="s">
        <v>1</v>
      </c>
      <c r="D1" s="6" t="s">
        <v>2</v>
      </c>
      <c r="E1" s="7" t="s">
        <v>3</v>
      </c>
      <c r="F1" s="8" t="s">
        <v>4</v>
      </c>
      <c r="G1" s="2" t="s">
        <v>5</v>
      </c>
      <c r="H1" s="3" t="s">
        <v>6</v>
      </c>
    </row>
    <row r="2" spans="1:8">
      <c r="A2" s="39" t="s">
        <v>7</v>
      </c>
      <c r="B2" s="40">
        <v>1</v>
      </c>
      <c r="C2" s="40">
        <v>1</v>
      </c>
      <c r="D2" s="40">
        <v>1</v>
      </c>
      <c r="E2" s="40">
        <v>4</v>
      </c>
      <c r="F2" s="40">
        <v>28</v>
      </c>
      <c r="G2" s="41">
        <f>SUM(B2:F2)</f>
        <v>35</v>
      </c>
      <c r="H2" s="78">
        <f>SUM(G2:G5)</f>
        <v>99</v>
      </c>
    </row>
    <row r="3" spans="1:8">
      <c r="A3" s="42" t="s">
        <v>8</v>
      </c>
      <c r="B3" s="34">
        <v>0</v>
      </c>
      <c r="C3" s="34">
        <v>0</v>
      </c>
      <c r="D3" s="34">
        <v>1</v>
      </c>
      <c r="E3" s="34">
        <v>8</v>
      </c>
      <c r="F3" s="34">
        <v>1</v>
      </c>
      <c r="G3" s="35">
        <f>SUM(B3:F3)</f>
        <v>10</v>
      </c>
      <c r="H3" s="79"/>
    </row>
    <row r="4" spans="1:8">
      <c r="A4" s="42" t="s">
        <v>9</v>
      </c>
      <c r="B4" s="34">
        <v>0</v>
      </c>
      <c r="C4" s="34">
        <v>0</v>
      </c>
      <c r="D4" s="34">
        <v>2</v>
      </c>
      <c r="E4" s="34">
        <v>13</v>
      </c>
      <c r="F4" s="34">
        <v>23</v>
      </c>
      <c r="G4" s="35">
        <f t="shared" ref="G4:G23" si="0">SUM(B4:F4)</f>
        <v>38</v>
      </c>
      <c r="H4" s="79"/>
    </row>
    <row r="5" spans="1:8" ht="15" thickBot="1">
      <c r="A5" s="43" t="s">
        <v>10</v>
      </c>
      <c r="B5" s="44">
        <v>0</v>
      </c>
      <c r="C5" s="44">
        <v>0</v>
      </c>
      <c r="D5" s="44">
        <v>0</v>
      </c>
      <c r="E5" s="44">
        <v>5</v>
      </c>
      <c r="F5" s="44">
        <v>11</v>
      </c>
      <c r="G5" s="45">
        <f t="shared" si="0"/>
        <v>16</v>
      </c>
      <c r="H5" s="80"/>
    </row>
    <row r="6" spans="1:8">
      <c r="A6" s="46" t="s">
        <v>11</v>
      </c>
      <c r="B6" s="47">
        <v>0</v>
      </c>
      <c r="C6" s="47">
        <v>0</v>
      </c>
      <c r="D6" s="47">
        <v>3</v>
      </c>
      <c r="E6" s="47">
        <v>10</v>
      </c>
      <c r="F6" s="47">
        <v>28</v>
      </c>
      <c r="G6" s="48">
        <f t="shared" si="0"/>
        <v>41</v>
      </c>
      <c r="H6" s="69">
        <f>SUM(G6:G9)</f>
        <v>95</v>
      </c>
    </row>
    <row r="7" spans="1:8">
      <c r="A7" s="49" t="s">
        <v>12</v>
      </c>
      <c r="B7" s="36">
        <v>0</v>
      </c>
      <c r="C7" s="36">
        <v>0</v>
      </c>
      <c r="D7" s="36">
        <v>1</v>
      </c>
      <c r="E7" s="36">
        <v>6</v>
      </c>
      <c r="F7" s="36">
        <v>4</v>
      </c>
      <c r="G7" s="37">
        <f t="shared" si="0"/>
        <v>11</v>
      </c>
      <c r="H7" s="70"/>
    </row>
    <row r="8" spans="1:8">
      <c r="A8" s="49" t="s">
        <v>13</v>
      </c>
      <c r="B8" s="36">
        <v>0</v>
      </c>
      <c r="C8" s="36">
        <v>1</v>
      </c>
      <c r="D8" s="36">
        <v>0</v>
      </c>
      <c r="E8" s="36">
        <v>9</v>
      </c>
      <c r="F8" s="36">
        <v>23</v>
      </c>
      <c r="G8" s="37">
        <f t="shared" si="0"/>
        <v>33</v>
      </c>
      <c r="H8" s="70"/>
    </row>
    <row r="9" spans="1:8" ht="15" thickBot="1">
      <c r="A9" s="50" t="s">
        <v>14</v>
      </c>
      <c r="B9" s="51">
        <v>0</v>
      </c>
      <c r="C9" s="51">
        <v>0</v>
      </c>
      <c r="D9" s="51">
        <v>1</v>
      </c>
      <c r="E9" s="51">
        <v>3</v>
      </c>
      <c r="F9" s="51">
        <v>6</v>
      </c>
      <c r="G9" s="52">
        <f t="shared" si="0"/>
        <v>10</v>
      </c>
      <c r="H9" s="71"/>
    </row>
    <row r="10" spans="1:8">
      <c r="A10" s="53" t="s">
        <v>15</v>
      </c>
      <c r="B10" s="54">
        <v>1</v>
      </c>
      <c r="C10" s="54">
        <v>0</v>
      </c>
      <c r="D10" s="54">
        <v>2</v>
      </c>
      <c r="E10" s="54">
        <v>9</v>
      </c>
      <c r="F10" s="54">
        <v>10</v>
      </c>
      <c r="G10" s="41">
        <f t="shared" si="0"/>
        <v>22</v>
      </c>
      <c r="H10" s="72">
        <f>SUM(G10:G13)</f>
        <v>78</v>
      </c>
    </row>
    <row r="11" spans="1:8">
      <c r="A11" s="55" t="s">
        <v>16</v>
      </c>
      <c r="B11" s="38">
        <v>0</v>
      </c>
      <c r="C11" s="38">
        <v>0</v>
      </c>
      <c r="D11" s="38">
        <v>0</v>
      </c>
      <c r="E11" s="38">
        <v>0</v>
      </c>
      <c r="F11" s="38">
        <v>9</v>
      </c>
      <c r="G11" s="35">
        <f t="shared" si="0"/>
        <v>9</v>
      </c>
      <c r="H11" s="73"/>
    </row>
    <row r="12" spans="1:8">
      <c r="A12" s="55" t="s">
        <v>17</v>
      </c>
      <c r="B12" s="38">
        <v>3</v>
      </c>
      <c r="C12" s="38">
        <v>0</v>
      </c>
      <c r="D12" s="38">
        <v>4</v>
      </c>
      <c r="E12" s="38">
        <v>4</v>
      </c>
      <c r="F12" s="38">
        <v>23</v>
      </c>
      <c r="G12" s="35">
        <f t="shared" si="0"/>
        <v>34</v>
      </c>
      <c r="H12" s="73"/>
    </row>
    <row r="13" spans="1:8" ht="15" thickBot="1">
      <c r="A13" s="56" t="s">
        <v>18</v>
      </c>
      <c r="B13" s="57">
        <v>0</v>
      </c>
      <c r="C13" s="57">
        <v>0</v>
      </c>
      <c r="D13" s="57">
        <v>1</v>
      </c>
      <c r="E13" s="57">
        <v>2</v>
      </c>
      <c r="F13" s="57">
        <v>10</v>
      </c>
      <c r="G13" s="45">
        <f t="shared" si="0"/>
        <v>13</v>
      </c>
      <c r="H13" s="74"/>
    </row>
    <row r="14" spans="1:8">
      <c r="A14" s="46" t="s">
        <v>19</v>
      </c>
      <c r="B14" s="47">
        <v>0</v>
      </c>
      <c r="C14" s="47">
        <v>4</v>
      </c>
      <c r="D14" s="47">
        <v>10</v>
      </c>
      <c r="E14" s="47">
        <v>9</v>
      </c>
      <c r="F14" s="47">
        <v>7</v>
      </c>
      <c r="G14" s="48">
        <f t="shared" si="0"/>
        <v>30</v>
      </c>
      <c r="H14" s="69">
        <f>SUM(G14:G17)</f>
        <v>70</v>
      </c>
    </row>
    <row r="15" spans="1:8">
      <c r="A15" s="49" t="s">
        <v>20</v>
      </c>
      <c r="B15" s="36">
        <v>1</v>
      </c>
      <c r="C15" s="36">
        <v>1</v>
      </c>
      <c r="D15" s="36">
        <v>1</v>
      </c>
      <c r="E15" s="36">
        <v>0</v>
      </c>
      <c r="F15" s="36">
        <v>4</v>
      </c>
      <c r="G15" s="37">
        <f t="shared" si="0"/>
        <v>7</v>
      </c>
      <c r="H15" s="70"/>
    </row>
    <row r="16" spans="1:8">
      <c r="A16" s="49" t="s">
        <v>21</v>
      </c>
      <c r="B16" s="36">
        <v>0</v>
      </c>
      <c r="C16" s="36">
        <v>2</v>
      </c>
      <c r="D16" s="36">
        <v>3</v>
      </c>
      <c r="E16" s="36">
        <v>7</v>
      </c>
      <c r="F16" s="36">
        <v>13</v>
      </c>
      <c r="G16" s="37">
        <f t="shared" si="0"/>
        <v>25</v>
      </c>
      <c r="H16" s="70"/>
    </row>
    <row r="17" spans="1:9" ht="15" thickBot="1">
      <c r="A17" s="50" t="s">
        <v>22</v>
      </c>
      <c r="B17" s="51">
        <v>0</v>
      </c>
      <c r="C17" s="51">
        <v>0</v>
      </c>
      <c r="D17" s="51">
        <v>0</v>
      </c>
      <c r="E17" s="51">
        <v>5</v>
      </c>
      <c r="F17" s="51">
        <v>3</v>
      </c>
      <c r="G17" s="52">
        <f t="shared" si="0"/>
        <v>8</v>
      </c>
      <c r="H17" s="71"/>
    </row>
    <row r="18" spans="1:9">
      <c r="A18" s="53" t="s">
        <v>23</v>
      </c>
      <c r="B18" s="54">
        <v>0</v>
      </c>
      <c r="C18" s="54">
        <v>2</v>
      </c>
      <c r="D18" s="54">
        <v>3</v>
      </c>
      <c r="E18" s="54">
        <v>10</v>
      </c>
      <c r="F18" s="54">
        <v>7</v>
      </c>
      <c r="G18" s="41">
        <f t="shared" si="0"/>
        <v>22</v>
      </c>
      <c r="H18" s="72">
        <f>SUM(G18:G21)</f>
        <v>61</v>
      </c>
    </row>
    <row r="19" spans="1:9">
      <c r="A19" s="55" t="s">
        <v>24</v>
      </c>
      <c r="B19" s="38">
        <v>0</v>
      </c>
      <c r="C19" s="38">
        <v>0</v>
      </c>
      <c r="D19" s="38">
        <v>1</v>
      </c>
      <c r="E19" s="38">
        <v>2</v>
      </c>
      <c r="F19" s="38">
        <v>9</v>
      </c>
      <c r="G19" s="35">
        <f t="shared" si="0"/>
        <v>12</v>
      </c>
      <c r="H19" s="73"/>
    </row>
    <row r="20" spans="1:9">
      <c r="A20" s="55" t="s">
        <v>25</v>
      </c>
      <c r="B20" s="38">
        <v>1</v>
      </c>
      <c r="C20" s="38">
        <v>0</v>
      </c>
      <c r="D20" s="38">
        <v>0</v>
      </c>
      <c r="E20" s="38">
        <v>2</v>
      </c>
      <c r="F20" s="38">
        <v>15</v>
      </c>
      <c r="G20" s="35">
        <f t="shared" si="0"/>
        <v>18</v>
      </c>
      <c r="H20" s="73"/>
    </row>
    <row r="21" spans="1:9" ht="15" thickBot="1">
      <c r="A21" s="56" t="s">
        <v>26</v>
      </c>
      <c r="B21" s="57">
        <v>0</v>
      </c>
      <c r="C21" s="57">
        <v>0</v>
      </c>
      <c r="D21" s="57">
        <v>1</v>
      </c>
      <c r="E21" s="57">
        <v>2</v>
      </c>
      <c r="F21" s="57">
        <v>6</v>
      </c>
      <c r="G21" s="45">
        <f t="shared" si="0"/>
        <v>9</v>
      </c>
      <c r="H21" s="74"/>
    </row>
    <row r="22" spans="1:9">
      <c r="A22" s="58" t="s">
        <v>27</v>
      </c>
      <c r="B22" s="47">
        <v>0</v>
      </c>
      <c r="C22" s="47">
        <v>0</v>
      </c>
      <c r="D22" s="47">
        <v>0</v>
      </c>
      <c r="E22" s="47">
        <v>0</v>
      </c>
      <c r="F22" s="47">
        <v>10</v>
      </c>
      <c r="G22" s="48">
        <f t="shared" si="0"/>
        <v>10</v>
      </c>
      <c r="H22" s="75">
        <f>SUM(G22:G24)</f>
        <v>20</v>
      </c>
    </row>
    <row r="23" spans="1:9" ht="15" thickBot="1">
      <c r="A23" s="59" t="s">
        <v>28</v>
      </c>
      <c r="B23" s="51">
        <v>1</v>
      </c>
      <c r="C23" s="51">
        <v>0</v>
      </c>
      <c r="D23" s="51">
        <v>0</v>
      </c>
      <c r="E23" s="51">
        <v>6</v>
      </c>
      <c r="F23" s="51">
        <v>3</v>
      </c>
      <c r="G23" s="52">
        <f t="shared" si="0"/>
        <v>10</v>
      </c>
      <c r="H23" s="76"/>
    </row>
    <row r="24" spans="1:9" ht="15" thickBot="1">
      <c r="A24" s="15"/>
      <c r="B24" s="1"/>
      <c r="C24" s="1"/>
      <c r="D24" s="1"/>
      <c r="E24" s="1"/>
      <c r="F24" s="1"/>
      <c r="G24" s="77"/>
      <c r="H24" s="77"/>
    </row>
    <row r="25" spans="1:9" ht="15" thickBot="1">
      <c r="A25" s="26" t="s">
        <v>29</v>
      </c>
      <c r="B25" s="21">
        <f>SUM(B2:B23)</f>
        <v>8</v>
      </c>
      <c r="C25" s="22">
        <f>SUM(C2:C23)</f>
        <v>11</v>
      </c>
      <c r="D25" s="22">
        <f>SUM(D2:D23)</f>
        <v>35</v>
      </c>
      <c r="E25" s="23">
        <f>SUM(E2:E23)</f>
        <v>116</v>
      </c>
      <c r="F25" s="24">
        <f>SUM(F2:F23)</f>
        <v>253</v>
      </c>
      <c r="G25" s="16" t="s">
        <v>30</v>
      </c>
      <c r="H25" s="19">
        <f>SUM(G2:G23)</f>
        <v>423</v>
      </c>
    </row>
    <row r="26" spans="1:9" ht="15" thickBot="1">
      <c r="A26" s="25" t="s">
        <v>31</v>
      </c>
      <c r="B26" s="27">
        <f>AVERAGE(B2:B23)</f>
        <v>0.36363636363636365</v>
      </c>
      <c r="C26" s="28">
        <f>AVERAGE(C2:C23)</f>
        <v>0.5</v>
      </c>
      <c r="D26" s="28">
        <f>AVERAGE(D2:D23)</f>
        <v>1.5909090909090908</v>
      </c>
      <c r="E26" s="29">
        <f>AVERAGE(E2:E23)</f>
        <v>5.2727272727272725</v>
      </c>
      <c r="F26" s="30">
        <f>AVERAGE(F2:F23)</f>
        <v>11.5</v>
      </c>
      <c r="G26" s="17" t="s">
        <v>32</v>
      </c>
      <c r="H26" s="18">
        <f>SUM(B25*1,C25*2,D25*3,E25*4,F25*5)/H25</f>
        <v>4.4066193853427897</v>
      </c>
    </row>
    <row r="27" spans="1:9" ht="15" thickBot="1">
      <c r="G27" s="31" t="s">
        <v>33</v>
      </c>
      <c r="H27" s="32">
        <f>'SEMANA 24'!H26</f>
        <v>4.0247619047619043</v>
      </c>
      <c r="I27" s="33" t="str">
        <f>_xlfn.CONCAT("", (H26-H27)/H27, "%")</f>
        <v>0,0948770361121462%</v>
      </c>
    </row>
  </sheetData>
  <mergeCells count="7">
    <mergeCell ref="G24:H24"/>
    <mergeCell ref="H2:H5"/>
    <mergeCell ref="H6:H9"/>
    <mergeCell ref="H10:H13"/>
    <mergeCell ref="H14:H17"/>
    <mergeCell ref="H18:H21"/>
    <mergeCell ref="H22:H23"/>
  </mergeCells>
  <pageMargins left="0.511811024" right="0.511811024" top="0.78740157499999996" bottom="0.78740157499999996" header="0.31496062000000002" footer="0.31496062000000002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D6F88-B91E-4DDC-BA04-20327A2A5AA2}">
  <dimension ref="A1:I27"/>
  <sheetViews>
    <sheetView topLeftCell="G1" zoomScaleNormal="100" workbookViewId="0">
      <selection activeCell="Q25" sqref="Q25"/>
    </sheetView>
  </sheetViews>
  <sheetFormatPr defaultRowHeight="14.45"/>
  <cols>
    <col min="1" max="1" width="24.42578125" customWidth="1"/>
    <col min="2" max="2" width="4.140625" bestFit="1" customWidth="1"/>
    <col min="3" max="3" width="7" bestFit="1" customWidth="1"/>
    <col min="4" max="4" width="9.85546875" bestFit="1" customWidth="1"/>
    <col min="5" max="5" width="12.7109375" bestFit="1" customWidth="1"/>
    <col min="6" max="6" width="15.7109375" bestFit="1" customWidth="1"/>
    <col min="7" max="7" width="33.7109375" customWidth="1"/>
    <col min="8" max="8" width="26.85546875" bestFit="1" customWidth="1"/>
    <col min="9" max="9" width="27.7109375" customWidth="1"/>
  </cols>
  <sheetData>
    <row r="1" spans="1:8" ht="15" thickBot="1">
      <c r="B1" s="4" t="s">
        <v>0</v>
      </c>
      <c r="C1" s="5" t="s">
        <v>1</v>
      </c>
      <c r="D1" s="6" t="s">
        <v>2</v>
      </c>
      <c r="E1" s="7" t="s">
        <v>3</v>
      </c>
      <c r="F1" s="8" t="s">
        <v>4</v>
      </c>
      <c r="G1" s="2" t="s">
        <v>5</v>
      </c>
      <c r="H1" s="3" t="s">
        <v>6</v>
      </c>
    </row>
    <row r="2" spans="1:8">
      <c r="A2" s="39" t="s">
        <v>7</v>
      </c>
      <c r="B2" s="40">
        <v>0</v>
      </c>
      <c r="C2" s="40">
        <v>1</v>
      </c>
      <c r="D2" s="40">
        <v>4</v>
      </c>
      <c r="E2" s="40">
        <v>13</v>
      </c>
      <c r="F2" s="40">
        <v>14</v>
      </c>
      <c r="G2" s="41">
        <f>SUM(B2:F2)</f>
        <v>32</v>
      </c>
      <c r="H2" s="78">
        <f>SUM(G2:G5)</f>
        <v>44</v>
      </c>
    </row>
    <row r="3" spans="1:8">
      <c r="A3" s="42" t="s">
        <v>8</v>
      </c>
      <c r="B3" s="34">
        <v>0</v>
      </c>
      <c r="C3" s="34">
        <v>2</v>
      </c>
      <c r="D3" s="34">
        <v>1</v>
      </c>
      <c r="E3" s="34">
        <v>9</v>
      </c>
      <c r="F3" s="34">
        <v>0</v>
      </c>
      <c r="G3" s="35">
        <f>SUM(B3:F3)</f>
        <v>12</v>
      </c>
      <c r="H3" s="79"/>
    </row>
    <row r="4" spans="1:8">
      <c r="A4" s="42" t="s">
        <v>9</v>
      </c>
      <c r="B4" s="34">
        <v>0</v>
      </c>
      <c r="C4" s="34">
        <v>0</v>
      </c>
      <c r="D4" s="34">
        <v>0</v>
      </c>
      <c r="E4" s="34">
        <v>0</v>
      </c>
      <c r="F4" s="34">
        <v>0</v>
      </c>
      <c r="G4" s="35">
        <f t="shared" ref="G4:G23" si="0">SUM(B4:F4)</f>
        <v>0</v>
      </c>
      <c r="H4" s="79"/>
    </row>
    <row r="5" spans="1:8" ht="15" thickBot="1">
      <c r="A5" s="43" t="s">
        <v>10</v>
      </c>
      <c r="B5" s="44">
        <v>0</v>
      </c>
      <c r="C5" s="44">
        <v>0</v>
      </c>
      <c r="D5" s="44">
        <v>0</v>
      </c>
      <c r="E5" s="44">
        <v>0</v>
      </c>
      <c r="F5" s="44">
        <v>0</v>
      </c>
      <c r="G5" s="45">
        <f t="shared" si="0"/>
        <v>0</v>
      </c>
      <c r="H5" s="80"/>
    </row>
    <row r="6" spans="1:8">
      <c r="A6" s="46" t="s">
        <v>11</v>
      </c>
      <c r="B6" s="47">
        <v>0</v>
      </c>
      <c r="C6" s="47">
        <v>2</v>
      </c>
      <c r="D6" s="47">
        <v>3</v>
      </c>
      <c r="E6" s="47">
        <v>15</v>
      </c>
      <c r="F6" s="47">
        <v>4</v>
      </c>
      <c r="G6" s="48">
        <f t="shared" si="0"/>
        <v>24</v>
      </c>
      <c r="H6" s="69">
        <f>SUM(G6:G9)</f>
        <v>35</v>
      </c>
    </row>
    <row r="7" spans="1:8">
      <c r="A7" s="49" t="s">
        <v>12</v>
      </c>
      <c r="B7" s="36">
        <v>0</v>
      </c>
      <c r="C7" s="36">
        <v>0</v>
      </c>
      <c r="D7" s="36">
        <v>1</v>
      </c>
      <c r="E7" s="36">
        <v>5</v>
      </c>
      <c r="F7" s="36">
        <v>5</v>
      </c>
      <c r="G7" s="37">
        <f t="shared" si="0"/>
        <v>11</v>
      </c>
      <c r="H7" s="70"/>
    </row>
    <row r="8" spans="1:8">
      <c r="A8" s="49" t="s">
        <v>13</v>
      </c>
      <c r="B8" s="36">
        <v>0</v>
      </c>
      <c r="C8" s="36">
        <v>0</v>
      </c>
      <c r="D8" s="36">
        <v>0</v>
      </c>
      <c r="E8" s="36">
        <v>0</v>
      </c>
      <c r="F8" s="36">
        <v>0</v>
      </c>
      <c r="G8" s="37">
        <f t="shared" si="0"/>
        <v>0</v>
      </c>
      <c r="H8" s="70"/>
    </row>
    <row r="9" spans="1:8" ht="15" thickBot="1">
      <c r="A9" s="50" t="s">
        <v>14</v>
      </c>
      <c r="B9" s="51">
        <v>0</v>
      </c>
      <c r="C9" s="51">
        <v>0</v>
      </c>
      <c r="D9" s="51">
        <v>0</v>
      </c>
      <c r="E9" s="51">
        <v>0</v>
      </c>
      <c r="F9" s="51">
        <v>0</v>
      </c>
      <c r="G9" s="52">
        <f t="shared" si="0"/>
        <v>0</v>
      </c>
      <c r="H9" s="71"/>
    </row>
    <row r="10" spans="1:8">
      <c r="A10" s="53" t="s">
        <v>15</v>
      </c>
      <c r="B10" s="54">
        <v>0</v>
      </c>
      <c r="C10" s="54">
        <v>0</v>
      </c>
      <c r="D10" s="54">
        <v>2</v>
      </c>
      <c r="E10" s="54">
        <v>9</v>
      </c>
      <c r="F10" s="54">
        <v>20</v>
      </c>
      <c r="G10" s="41">
        <f t="shared" si="0"/>
        <v>31</v>
      </c>
      <c r="H10" s="72">
        <f>SUM(G10:G13)</f>
        <v>82</v>
      </c>
    </row>
    <row r="11" spans="1:8">
      <c r="A11" s="55" t="s">
        <v>16</v>
      </c>
      <c r="B11" s="38">
        <v>0</v>
      </c>
      <c r="C11" s="38">
        <v>0</v>
      </c>
      <c r="D11" s="38">
        <v>0</v>
      </c>
      <c r="E11" s="38">
        <v>3</v>
      </c>
      <c r="F11" s="38">
        <v>9</v>
      </c>
      <c r="G11" s="35">
        <f t="shared" si="0"/>
        <v>12</v>
      </c>
      <c r="H11" s="73"/>
    </row>
    <row r="12" spans="1:8">
      <c r="A12" s="55" t="s">
        <v>17</v>
      </c>
      <c r="B12" s="38">
        <v>0</v>
      </c>
      <c r="C12" s="38">
        <v>0</v>
      </c>
      <c r="D12" s="38">
        <v>10</v>
      </c>
      <c r="E12" s="38">
        <v>8</v>
      </c>
      <c r="F12" s="38">
        <v>6</v>
      </c>
      <c r="G12" s="35">
        <f t="shared" si="0"/>
        <v>24</v>
      </c>
      <c r="H12" s="73"/>
    </row>
    <row r="13" spans="1:8" ht="15" thickBot="1">
      <c r="A13" s="56" t="s">
        <v>18</v>
      </c>
      <c r="B13" s="57">
        <v>0</v>
      </c>
      <c r="C13" s="57">
        <v>0</v>
      </c>
      <c r="D13" s="57">
        <v>2</v>
      </c>
      <c r="E13" s="57">
        <v>2</v>
      </c>
      <c r="F13" s="57">
        <v>11</v>
      </c>
      <c r="G13" s="45">
        <f t="shared" si="0"/>
        <v>15</v>
      </c>
      <c r="H13" s="74"/>
    </row>
    <row r="14" spans="1:8">
      <c r="A14" s="46" t="s">
        <v>19</v>
      </c>
      <c r="B14" s="47">
        <v>0</v>
      </c>
      <c r="C14" s="47">
        <v>0</v>
      </c>
      <c r="D14" s="47">
        <v>7</v>
      </c>
      <c r="E14" s="47">
        <v>4</v>
      </c>
      <c r="F14" s="47">
        <v>4</v>
      </c>
      <c r="G14" s="48">
        <f t="shared" si="0"/>
        <v>15</v>
      </c>
      <c r="H14" s="69">
        <f>SUM(G14:G17)</f>
        <v>50</v>
      </c>
    </row>
    <row r="15" spans="1:8">
      <c r="A15" s="49" t="s">
        <v>20</v>
      </c>
      <c r="B15" s="36">
        <v>0</v>
      </c>
      <c r="C15" s="36">
        <v>0</v>
      </c>
      <c r="D15" s="36">
        <v>0</v>
      </c>
      <c r="E15" s="36">
        <v>4</v>
      </c>
      <c r="F15" s="36">
        <v>3</v>
      </c>
      <c r="G15" s="37">
        <f t="shared" si="0"/>
        <v>7</v>
      </c>
      <c r="H15" s="70"/>
    </row>
    <row r="16" spans="1:8">
      <c r="A16" s="49" t="s">
        <v>21</v>
      </c>
      <c r="B16" s="36">
        <v>1</v>
      </c>
      <c r="C16" s="36">
        <v>0</v>
      </c>
      <c r="D16" s="36">
        <v>5</v>
      </c>
      <c r="E16" s="36">
        <v>6</v>
      </c>
      <c r="F16" s="36">
        <v>9</v>
      </c>
      <c r="G16" s="37">
        <f t="shared" si="0"/>
        <v>21</v>
      </c>
      <c r="H16" s="70"/>
    </row>
    <row r="17" spans="1:9" ht="15" thickBot="1">
      <c r="A17" s="50" t="s">
        <v>22</v>
      </c>
      <c r="B17" s="51">
        <v>0</v>
      </c>
      <c r="C17" s="51">
        <v>0</v>
      </c>
      <c r="D17" s="51">
        <v>1</v>
      </c>
      <c r="E17" s="51">
        <v>1</v>
      </c>
      <c r="F17" s="51">
        <v>5</v>
      </c>
      <c r="G17" s="52">
        <f t="shared" si="0"/>
        <v>7</v>
      </c>
      <c r="H17" s="71"/>
    </row>
    <row r="18" spans="1:9">
      <c r="A18" s="53" t="s">
        <v>23</v>
      </c>
      <c r="B18" s="54">
        <v>0</v>
      </c>
      <c r="C18" s="54">
        <v>0</v>
      </c>
      <c r="D18" s="54">
        <v>0</v>
      </c>
      <c r="E18" s="54">
        <v>6</v>
      </c>
      <c r="F18" s="54">
        <v>19</v>
      </c>
      <c r="G18" s="41">
        <f t="shared" si="0"/>
        <v>25</v>
      </c>
      <c r="H18" s="72">
        <f>SUM(G18:G21)</f>
        <v>55</v>
      </c>
    </row>
    <row r="19" spans="1:9">
      <c r="A19" s="55" t="s">
        <v>24</v>
      </c>
      <c r="B19" s="38">
        <v>0</v>
      </c>
      <c r="C19" s="38">
        <v>0</v>
      </c>
      <c r="D19" s="38">
        <v>0</v>
      </c>
      <c r="E19" s="38">
        <v>3</v>
      </c>
      <c r="F19" s="38">
        <v>3</v>
      </c>
      <c r="G19" s="35">
        <f t="shared" si="0"/>
        <v>6</v>
      </c>
      <c r="H19" s="73"/>
    </row>
    <row r="20" spans="1:9">
      <c r="A20" s="55" t="s">
        <v>25</v>
      </c>
      <c r="B20" s="38">
        <v>1</v>
      </c>
      <c r="C20" s="38">
        <v>4</v>
      </c>
      <c r="D20" s="38">
        <v>3</v>
      </c>
      <c r="E20" s="38">
        <v>4</v>
      </c>
      <c r="F20" s="38">
        <v>3</v>
      </c>
      <c r="G20" s="35">
        <f t="shared" si="0"/>
        <v>15</v>
      </c>
      <c r="H20" s="73"/>
    </row>
    <row r="21" spans="1:9" ht="15" thickBot="1">
      <c r="A21" s="56" t="s">
        <v>26</v>
      </c>
      <c r="B21" s="57">
        <v>1</v>
      </c>
      <c r="C21" s="57">
        <v>0</v>
      </c>
      <c r="D21" s="57">
        <v>0</v>
      </c>
      <c r="E21" s="57">
        <v>2</v>
      </c>
      <c r="F21" s="57">
        <v>6</v>
      </c>
      <c r="G21" s="45">
        <f t="shared" si="0"/>
        <v>9</v>
      </c>
      <c r="H21" s="74"/>
    </row>
    <row r="22" spans="1:9">
      <c r="A22" s="58" t="s">
        <v>27</v>
      </c>
      <c r="B22" s="47">
        <v>1</v>
      </c>
      <c r="C22" s="47">
        <v>5</v>
      </c>
      <c r="D22" s="47">
        <v>3</v>
      </c>
      <c r="E22" s="47">
        <v>3</v>
      </c>
      <c r="F22" s="47">
        <v>0</v>
      </c>
      <c r="G22" s="48">
        <f t="shared" si="0"/>
        <v>12</v>
      </c>
      <c r="H22" s="75">
        <f>SUM(G22:G24)</f>
        <v>16</v>
      </c>
    </row>
    <row r="23" spans="1:9" ht="15" thickBot="1">
      <c r="A23" s="59" t="s">
        <v>28</v>
      </c>
      <c r="B23" s="51">
        <v>0</v>
      </c>
      <c r="C23" s="51">
        <v>0</v>
      </c>
      <c r="D23" s="51">
        <v>0</v>
      </c>
      <c r="E23" s="51">
        <v>3</v>
      </c>
      <c r="F23" s="51">
        <v>1</v>
      </c>
      <c r="G23" s="52">
        <f t="shared" si="0"/>
        <v>4</v>
      </c>
      <c r="H23" s="76"/>
    </row>
    <row r="24" spans="1:9" ht="15" thickBot="1">
      <c r="A24" s="15"/>
      <c r="B24" s="1"/>
      <c r="C24" s="1"/>
      <c r="D24" s="1"/>
      <c r="E24" s="1"/>
      <c r="F24" s="1"/>
      <c r="G24" s="77"/>
      <c r="H24" s="77"/>
    </row>
    <row r="25" spans="1:9" ht="15" thickBot="1">
      <c r="A25" s="26" t="s">
        <v>29</v>
      </c>
      <c r="B25" s="21">
        <f>SUM(B2:B23)</f>
        <v>4</v>
      </c>
      <c r="C25" s="22">
        <f>SUM(C2:C23)</f>
        <v>14</v>
      </c>
      <c r="D25" s="22">
        <f>SUM(D2:D23)</f>
        <v>42</v>
      </c>
      <c r="E25" s="23">
        <f>SUM(E2:E23)</f>
        <v>100</v>
      </c>
      <c r="F25" s="24">
        <f>SUM(F2:F23)</f>
        <v>122</v>
      </c>
      <c r="G25" s="16" t="s">
        <v>30</v>
      </c>
      <c r="H25" s="19">
        <f>SUM(G2:G23)</f>
        <v>282</v>
      </c>
    </row>
    <row r="26" spans="1:9" ht="15" thickBot="1">
      <c r="A26" s="25" t="s">
        <v>31</v>
      </c>
      <c r="B26" s="27">
        <f>AVERAGE(B2:B23)</f>
        <v>0.18181818181818182</v>
      </c>
      <c r="C26" s="28">
        <f>AVERAGE(C2:C23)</f>
        <v>0.63636363636363635</v>
      </c>
      <c r="D26" s="28">
        <f>AVERAGE(D2:D23)</f>
        <v>1.9090909090909092</v>
      </c>
      <c r="E26" s="29">
        <f>AVERAGE(E2:E23)</f>
        <v>4.5454545454545459</v>
      </c>
      <c r="F26" s="30">
        <f>AVERAGE(F2:F23)</f>
        <v>5.5454545454545459</v>
      </c>
      <c r="G26" s="17" t="s">
        <v>32</v>
      </c>
      <c r="H26" s="18">
        <f>SUM(B25*1,C25*2,D25*3,E25*4,F25*5)/H25</f>
        <v>4.1418439716312054</v>
      </c>
    </row>
    <row r="27" spans="1:9" ht="15" thickBot="1">
      <c r="G27" s="31" t="s">
        <v>33</v>
      </c>
      <c r="H27" s="32">
        <f>'SEMANA 25'!H26</f>
        <v>4.4066193853427897</v>
      </c>
      <c r="I27" s="33" t="str">
        <f>_xlfn.CONCAT("", (H26-H27)/H27, "%")</f>
        <v>-0,0600858369098713%</v>
      </c>
    </row>
  </sheetData>
  <mergeCells count="7">
    <mergeCell ref="G24:H24"/>
    <mergeCell ref="H2:H5"/>
    <mergeCell ref="H6:H9"/>
    <mergeCell ref="H10:H13"/>
    <mergeCell ref="H14:H17"/>
    <mergeCell ref="H18:H21"/>
    <mergeCell ref="H22:H23"/>
  </mergeCells>
  <pageMargins left="0.511811024" right="0.511811024" top="0.78740157499999996" bottom="0.78740157499999996" header="0.31496062000000002" footer="0.31496062000000002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6ECF5-36BC-42A3-AB83-8F00F9F3828B}">
  <dimension ref="A1:I27"/>
  <sheetViews>
    <sheetView zoomScaleNormal="100" workbookViewId="0">
      <selection activeCell="E22" sqref="E22"/>
    </sheetView>
  </sheetViews>
  <sheetFormatPr defaultRowHeight="14.45"/>
  <cols>
    <col min="1" max="1" width="24.42578125" customWidth="1"/>
    <col min="2" max="2" width="4.140625" bestFit="1" customWidth="1"/>
    <col min="3" max="3" width="7" bestFit="1" customWidth="1"/>
    <col min="4" max="4" width="9.85546875" bestFit="1" customWidth="1"/>
    <col min="5" max="5" width="12.7109375" bestFit="1" customWidth="1"/>
    <col min="6" max="6" width="15.7109375" bestFit="1" customWidth="1"/>
    <col min="7" max="7" width="33.7109375" customWidth="1"/>
    <col min="8" max="8" width="26.85546875" bestFit="1" customWidth="1"/>
    <col min="9" max="9" width="27.7109375" customWidth="1"/>
  </cols>
  <sheetData>
    <row r="1" spans="1:8" ht="15" thickBot="1">
      <c r="B1" s="4" t="s">
        <v>0</v>
      </c>
      <c r="C1" s="5" t="s">
        <v>1</v>
      </c>
      <c r="D1" s="6" t="s">
        <v>2</v>
      </c>
      <c r="E1" s="7" t="s">
        <v>3</v>
      </c>
      <c r="F1" s="8" t="s">
        <v>4</v>
      </c>
      <c r="G1" s="2" t="s">
        <v>5</v>
      </c>
      <c r="H1" s="3" t="s">
        <v>6</v>
      </c>
    </row>
    <row r="2" spans="1:8">
      <c r="A2" s="39" t="s">
        <v>7</v>
      </c>
      <c r="B2" s="40">
        <v>1</v>
      </c>
      <c r="C2" s="40">
        <v>0</v>
      </c>
      <c r="D2" s="40">
        <v>6</v>
      </c>
      <c r="E2" s="40">
        <v>9</v>
      </c>
      <c r="F2" s="40">
        <v>10</v>
      </c>
      <c r="G2" s="41">
        <f>SUM(B2:F2)</f>
        <v>26</v>
      </c>
      <c r="H2" s="78">
        <f>SUM(G2:G5)</f>
        <v>35</v>
      </c>
    </row>
    <row r="3" spans="1:8">
      <c r="A3" s="42" t="s">
        <v>8</v>
      </c>
      <c r="B3" s="34">
        <v>1</v>
      </c>
      <c r="C3" s="34">
        <v>0</v>
      </c>
      <c r="D3" s="34">
        <v>0</v>
      </c>
      <c r="E3" s="34">
        <v>4</v>
      </c>
      <c r="F3" s="34">
        <v>4</v>
      </c>
      <c r="G3" s="35">
        <f>SUM(B3:F3)</f>
        <v>9</v>
      </c>
      <c r="H3" s="79"/>
    </row>
    <row r="4" spans="1:8">
      <c r="A4" s="42" t="s">
        <v>9</v>
      </c>
      <c r="B4" s="34">
        <v>0</v>
      </c>
      <c r="C4" s="34">
        <v>0</v>
      </c>
      <c r="D4" s="34">
        <v>0</v>
      </c>
      <c r="E4" s="34">
        <v>0</v>
      </c>
      <c r="F4" s="34">
        <v>0</v>
      </c>
      <c r="G4" s="35">
        <f t="shared" ref="G4:G23" si="0">SUM(B4:F4)</f>
        <v>0</v>
      </c>
      <c r="H4" s="79"/>
    </row>
    <row r="5" spans="1:8" ht="15" thickBot="1">
      <c r="A5" s="43" t="s">
        <v>10</v>
      </c>
      <c r="B5" s="44">
        <v>0</v>
      </c>
      <c r="C5" s="44">
        <v>0</v>
      </c>
      <c r="D5" s="44">
        <v>0</v>
      </c>
      <c r="E5" s="44">
        <v>0</v>
      </c>
      <c r="F5" s="44">
        <v>0</v>
      </c>
      <c r="G5" s="45">
        <f t="shared" si="0"/>
        <v>0</v>
      </c>
      <c r="H5" s="80"/>
    </row>
    <row r="6" spans="1:8">
      <c r="A6" s="46" t="s">
        <v>11</v>
      </c>
      <c r="B6" s="47">
        <v>1</v>
      </c>
      <c r="C6" s="47">
        <v>1</v>
      </c>
      <c r="D6" s="47">
        <v>6</v>
      </c>
      <c r="E6" s="47">
        <v>9</v>
      </c>
      <c r="F6" s="47">
        <v>3</v>
      </c>
      <c r="G6" s="48">
        <f t="shared" si="0"/>
        <v>20</v>
      </c>
      <c r="H6" s="69">
        <f>SUM(G6:G9)</f>
        <v>59</v>
      </c>
    </row>
    <row r="7" spans="1:8">
      <c r="A7" s="49" t="s">
        <v>12</v>
      </c>
      <c r="B7" s="36">
        <v>1</v>
      </c>
      <c r="C7" s="36">
        <v>0</v>
      </c>
      <c r="D7" s="36">
        <v>2</v>
      </c>
      <c r="E7" s="36">
        <v>1</v>
      </c>
      <c r="F7" s="36">
        <v>4</v>
      </c>
      <c r="G7" s="37">
        <f t="shared" si="0"/>
        <v>8</v>
      </c>
      <c r="H7" s="70"/>
    </row>
    <row r="8" spans="1:8">
      <c r="A8" s="49" t="s">
        <v>13</v>
      </c>
      <c r="B8" s="36">
        <v>1</v>
      </c>
      <c r="C8" s="36">
        <v>1</v>
      </c>
      <c r="D8" s="36">
        <v>2</v>
      </c>
      <c r="E8" s="36">
        <v>6</v>
      </c>
      <c r="F8" s="36">
        <v>11</v>
      </c>
      <c r="G8" s="37">
        <f t="shared" si="0"/>
        <v>21</v>
      </c>
      <c r="H8" s="70"/>
    </row>
    <row r="9" spans="1:8" ht="15" thickBot="1">
      <c r="A9" s="50" t="s">
        <v>14</v>
      </c>
      <c r="B9" s="51">
        <v>2</v>
      </c>
      <c r="C9" s="51">
        <v>0</v>
      </c>
      <c r="D9" s="51">
        <v>0</v>
      </c>
      <c r="E9" s="51">
        <v>3</v>
      </c>
      <c r="F9" s="51">
        <v>5</v>
      </c>
      <c r="G9" s="52">
        <f t="shared" si="0"/>
        <v>10</v>
      </c>
      <c r="H9" s="71"/>
    </row>
    <row r="10" spans="1:8">
      <c r="A10" s="53" t="s">
        <v>15</v>
      </c>
      <c r="B10" s="54">
        <v>2</v>
      </c>
      <c r="C10" s="54">
        <v>1</v>
      </c>
      <c r="D10" s="54">
        <v>1</v>
      </c>
      <c r="E10" s="54">
        <v>3</v>
      </c>
      <c r="F10" s="54">
        <v>6</v>
      </c>
      <c r="G10" s="41">
        <f t="shared" si="0"/>
        <v>13</v>
      </c>
      <c r="H10" s="72">
        <f>SUM(G10:G13)</f>
        <v>57</v>
      </c>
    </row>
    <row r="11" spans="1:8">
      <c r="A11" s="55" t="s">
        <v>16</v>
      </c>
      <c r="B11" s="38">
        <v>0</v>
      </c>
      <c r="C11" s="38">
        <v>1</v>
      </c>
      <c r="D11" s="38">
        <v>0</v>
      </c>
      <c r="E11" s="38">
        <v>4</v>
      </c>
      <c r="F11" s="38">
        <v>6</v>
      </c>
      <c r="G11" s="35">
        <f t="shared" si="0"/>
        <v>11</v>
      </c>
      <c r="H11" s="73"/>
    </row>
    <row r="12" spans="1:8">
      <c r="A12" s="55" t="s">
        <v>17</v>
      </c>
      <c r="B12" s="38">
        <v>0</v>
      </c>
      <c r="C12" s="38">
        <v>1</v>
      </c>
      <c r="D12" s="38">
        <v>6</v>
      </c>
      <c r="E12" s="38">
        <v>15</v>
      </c>
      <c r="F12" s="38">
        <v>3</v>
      </c>
      <c r="G12" s="35">
        <f t="shared" si="0"/>
        <v>25</v>
      </c>
      <c r="H12" s="73"/>
    </row>
    <row r="13" spans="1:8" ht="15" thickBot="1">
      <c r="A13" s="56" t="s">
        <v>18</v>
      </c>
      <c r="B13" s="57">
        <v>0</v>
      </c>
      <c r="C13" s="57">
        <v>0</v>
      </c>
      <c r="D13" s="57">
        <v>3</v>
      </c>
      <c r="E13" s="57">
        <v>1</v>
      </c>
      <c r="F13" s="57">
        <v>4</v>
      </c>
      <c r="G13" s="45">
        <f t="shared" si="0"/>
        <v>8</v>
      </c>
      <c r="H13" s="74"/>
    </row>
    <row r="14" spans="1:8">
      <c r="A14" s="46" t="s">
        <v>19</v>
      </c>
      <c r="B14" s="47">
        <v>1</v>
      </c>
      <c r="C14" s="47">
        <v>2</v>
      </c>
      <c r="D14" s="47">
        <v>6</v>
      </c>
      <c r="E14" s="47">
        <v>6</v>
      </c>
      <c r="F14" s="47">
        <v>4</v>
      </c>
      <c r="G14" s="48">
        <f t="shared" si="0"/>
        <v>19</v>
      </c>
      <c r="H14" s="69">
        <f>SUM(G14:G17)</f>
        <v>61</v>
      </c>
    </row>
    <row r="15" spans="1:8">
      <c r="A15" s="49" t="s">
        <v>20</v>
      </c>
      <c r="B15" s="36">
        <v>0</v>
      </c>
      <c r="C15" s="36">
        <v>0</v>
      </c>
      <c r="D15" s="36">
        <v>2</v>
      </c>
      <c r="E15" s="36">
        <v>1</v>
      </c>
      <c r="F15" s="36">
        <v>1</v>
      </c>
      <c r="G15" s="37">
        <f t="shared" si="0"/>
        <v>4</v>
      </c>
      <c r="H15" s="70"/>
    </row>
    <row r="16" spans="1:8">
      <c r="A16" s="49" t="s">
        <v>21</v>
      </c>
      <c r="B16" s="36">
        <v>1</v>
      </c>
      <c r="C16" s="36">
        <v>0</v>
      </c>
      <c r="D16" s="36">
        <v>3</v>
      </c>
      <c r="E16" s="36">
        <v>3</v>
      </c>
      <c r="F16" s="36">
        <v>20</v>
      </c>
      <c r="G16" s="37">
        <f t="shared" si="0"/>
        <v>27</v>
      </c>
      <c r="H16" s="70"/>
    </row>
    <row r="17" spans="1:9" ht="15" thickBot="1">
      <c r="A17" s="50" t="s">
        <v>22</v>
      </c>
      <c r="B17" s="51">
        <v>0</v>
      </c>
      <c r="C17" s="51">
        <v>1</v>
      </c>
      <c r="D17" s="51">
        <v>0</v>
      </c>
      <c r="E17" s="51">
        <v>4</v>
      </c>
      <c r="F17" s="51">
        <v>6</v>
      </c>
      <c r="G17" s="52">
        <f t="shared" si="0"/>
        <v>11</v>
      </c>
      <c r="H17" s="71"/>
    </row>
    <row r="18" spans="1:9">
      <c r="A18" s="53" t="s">
        <v>23</v>
      </c>
      <c r="B18" s="54">
        <v>0</v>
      </c>
      <c r="C18" s="54">
        <v>0</v>
      </c>
      <c r="D18" s="54">
        <v>4</v>
      </c>
      <c r="E18" s="54">
        <v>4</v>
      </c>
      <c r="F18" s="54">
        <v>13</v>
      </c>
      <c r="G18" s="41">
        <f t="shared" si="0"/>
        <v>21</v>
      </c>
      <c r="H18" s="72">
        <f>SUM(G18:G21)</f>
        <v>53</v>
      </c>
    </row>
    <row r="19" spans="1:9">
      <c r="A19" s="55" t="s">
        <v>24</v>
      </c>
      <c r="B19" s="38">
        <v>0</v>
      </c>
      <c r="C19" s="38">
        <v>0</v>
      </c>
      <c r="D19" s="38">
        <v>4</v>
      </c>
      <c r="E19" s="38">
        <v>0</v>
      </c>
      <c r="F19" s="38">
        <v>1</v>
      </c>
      <c r="G19" s="35">
        <f t="shared" si="0"/>
        <v>5</v>
      </c>
      <c r="H19" s="73"/>
    </row>
    <row r="20" spans="1:9">
      <c r="A20" s="55" t="s">
        <v>25</v>
      </c>
      <c r="B20" s="38">
        <v>0</v>
      </c>
      <c r="C20" s="38">
        <v>0</v>
      </c>
      <c r="D20" s="38">
        <v>5</v>
      </c>
      <c r="E20" s="38">
        <v>6</v>
      </c>
      <c r="F20" s="38">
        <v>3</v>
      </c>
      <c r="G20" s="35">
        <f t="shared" si="0"/>
        <v>14</v>
      </c>
      <c r="H20" s="73"/>
    </row>
    <row r="21" spans="1:9" ht="15" thickBot="1">
      <c r="A21" s="56" t="s">
        <v>26</v>
      </c>
      <c r="B21" s="57">
        <v>0</v>
      </c>
      <c r="C21" s="57">
        <v>1</v>
      </c>
      <c r="D21" s="57">
        <v>1</v>
      </c>
      <c r="E21" s="57">
        <v>3</v>
      </c>
      <c r="F21" s="57">
        <v>8</v>
      </c>
      <c r="G21" s="45">
        <f t="shared" si="0"/>
        <v>13</v>
      </c>
      <c r="H21" s="74"/>
    </row>
    <row r="22" spans="1:9">
      <c r="A22" s="58" t="s">
        <v>27</v>
      </c>
      <c r="B22" s="47">
        <v>0</v>
      </c>
      <c r="C22" s="47">
        <v>0</v>
      </c>
      <c r="D22" s="47">
        <v>0</v>
      </c>
      <c r="E22" s="47">
        <v>6</v>
      </c>
      <c r="F22" s="47">
        <v>6</v>
      </c>
      <c r="G22" s="48">
        <f t="shared" si="0"/>
        <v>12</v>
      </c>
      <c r="H22" s="75">
        <f>SUM(G22:G24)</f>
        <v>20</v>
      </c>
    </row>
    <row r="23" spans="1:9" ht="15" thickBot="1">
      <c r="A23" s="59" t="s">
        <v>28</v>
      </c>
      <c r="B23" s="51">
        <v>0</v>
      </c>
      <c r="C23" s="51">
        <v>1</v>
      </c>
      <c r="D23" s="51">
        <v>1</v>
      </c>
      <c r="E23" s="51">
        <v>2</v>
      </c>
      <c r="F23" s="51">
        <v>4</v>
      </c>
      <c r="G23" s="52">
        <f t="shared" si="0"/>
        <v>8</v>
      </c>
      <c r="H23" s="76"/>
    </row>
    <row r="24" spans="1:9" ht="15" thickBot="1">
      <c r="A24" s="15"/>
      <c r="B24" s="1"/>
      <c r="C24" s="1"/>
      <c r="D24" s="1"/>
      <c r="E24" s="1"/>
      <c r="F24" s="1"/>
      <c r="G24" s="77"/>
      <c r="H24" s="77"/>
    </row>
    <row r="25" spans="1:9" ht="15" thickBot="1">
      <c r="A25" s="26" t="s">
        <v>29</v>
      </c>
      <c r="B25" s="21">
        <f>SUM(B2:B23)</f>
        <v>11</v>
      </c>
      <c r="C25" s="22">
        <f>SUM(C2:C23)</f>
        <v>10</v>
      </c>
      <c r="D25" s="22">
        <f>SUM(D2:D23)</f>
        <v>52</v>
      </c>
      <c r="E25" s="23">
        <f>SUM(E2:E23)</f>
        <v>90</v>
      </c>
      <c r="F25" s="24">
        <f>SUM(F2:F23)</f>
        <v>122</v>
      </c>
      <c r="G25" s="16" t="s">
        <v>30</v>
      </c>
      <c r="H25" s="19">
        <f>SUM(G2:G23)</f>
        <v>285</v>
      </c>
    </row>
    <row r="26" spans="1:9" ht="15" thickBot="1">
      <c r="A26" s="25" t="s">
        <v>31</v>
      </c>
      <c r="B26" s="27">
        <f>AVERAGE(B2:B23)</f>
        <v>0.5</v>
      </c>
      <c r="C26" s="28">
        <f>AVERAGE(C2:C23)</f>
        <v>0.45454545454545453</v>
      </c>
      <c r="D26" s="28">
        <f>AVERAGE(D2:D23)</f>
        <v>2.3636363636363638</v>
      </c>
      <c r="E26" s="29">
        <f>AVERAGE(E2:E23)</f>
        <v>4.0909090909090908</v>
      </c>
      <c r="F26" s="30">
        <f>AVERAGE(F2:F23)</f>
        <v>5.5454545454545459</v>
      </c>
      <c r="G26" s="17" t="s">
        <v>32</v>
      </c>
      <c r="H26" s="18">
        <f>SUM(B25*1,C25*2,D25*3,E25*4,F25*5)/H25</f>
        <v>4.0596491228070173</v>
      </c>
    </row>
    <row r="27" spans="1:9" ht="15" thickBot="1">
      <c r="G27" s="31" t="s">
        <v>33</v>
      </c>
      <c r="H27" s="32">
        <f>'SEMANA 26'!H26</f>
        <v>4.1418439716312054</v>
      </c>
      <c r="I27" s="33" t="str">
        <f>_xlfn.CONCAT("", (H26-H27)/H27, "%")</f>
        <v>-0,019844989185292%</v>
      </c>
    </row>
  </sheetData>
  <mergeCells count="7">
    <mergeCell ref="G24:H24"/>
    <mergeCell ref="H2:H5"/>
    <mergeCell ref="H6:H9"/>
    <mergeCell ref="H10:H13"/>
    <mergeCell ref="H14:H17"/>
    <mergeCell ref="H18:H21"/>
    <mergeCell ref="H22:H23"/>
  </mergeCells>
  <pageMargins left="0.511811024" right="0.511811024" top="0.78740157499999996" bottom="0.78740157499999996" header="0.31496062000000002" footer="0.31496062000000002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34225-9F33-4CD6-83F1-1DD39D382A40}">
  <dimension ref="A1:I27"/>
  <sheetViews>
    <sheetView zoomScaleNormal="100" workbookViewId="0">
      <selection activeCell="U11" sqref="U11"/>
    </sheetView>
  </sheetViews>
  <sheetFormatPr defaultRowHeight="14.45"/>
  <cols>
    <col min="1" max="1" width="24.42578125" customWidth="1"/>
    <col min="2" max="2" width="4.140625" bestFit="1" customWidth="1"/>
    <col min="3" max="3" width="7" bestFit="1" customWidth="1"/>
    <col min="4" max="4" width="9.85546875" bestFit="1" customWidth="1"/>
    <col min="5" max="5" width="12.7109375" bestFit="1" customWidth="1"/>
    <col min="6" max="6" width="15.7109375" bestFit="1" customWidth="1"/>
    <col min="7" max="7" width="33.7109375" customWidth="1"/>
    <col min="8" max="8" width="26.85546875" bestFit="1" customWidth="1"/>
    <col min="9" max="9" width="27.7109375" customWidth="1"/>
  </cols>
  <sheetData>
    <row r="1" spans="1:8" ht="15" thickBot="1">
      <c r="B1" s="4" t="s">
        <v>0</v>
      </c>
      <c r="C1" s="5" t="s">
        <v>1</v>
      </c>
      <c r="D1" s="6" t="s">
        <v>2</v>
      </c>
      <c r="E1" s="7" t="s">
        <v>3</v>
      </c>
      <c r="F1" s="8" t="s">
        <v>4</v>
      </c>
      <c r="G1" s="2" t="s">
        <v>5</v>
      </c>
      <c r="H1" s="3" t="s">
        <v>6</v>
      </c>
    </row>
    <row r="2" spans="1:8">
      <c r="A2" s="39" t="s">
        <v>7</v>
      </c>
      <c r="B2" s="40">
        <v>0</v>
      </c>
      <c r="C2" s="40">
        <v>1</v>
      </c>
      <c r="D2" s="40">
        <v>9</v>
      </c>
      <c r="E2" s="40">
        <v>11</v>
      </c>
      <c r="F2" s="40">
        <v>2</v>
      </c>
      <c r="G2" s="41">
        <f>SUM(B2:F2)</f>
        <v>23</v>
      </c>
      <c r="H2" s="78">
        <f>SUM(G2:G5)</f>
        <v>32</v>
      </c>
    </row>
    <row r="3" spans="1:8">
      <c r="A3" s="42" t="s">
        <v>8</v>
      </c>
      <c r="B3" s="34">
        <v>4</v>
      </c>
      <c r="C3" s="34">
        <v>0</v>
      </c>
      <c r="D3" s="34">
        <v>2</v>
      </c>
      <c r="E3" s="34">
        <v>0</v>
      </c>
      <c r="F3" s="34">
        <v>3</v>
      </c>
      <c r="G3" s="35">
        <f>SUM(B3:F3)</f>
        <v>9</v>
      </c>
      <c r="H3" s="79"/>
    </row>
    <row r="4" spans="1:8">
      <c r="A4" s="42" t="s">
        <v>9</v>
      </c>
      <c r="B4" s="34">
        <v>0</v>
      </c>
      <c r="C4" s="34">
        <v>0</v>
      </c>
      <c r="D4" s="34">
        <v>0</v>
      </c>
      <c r="E4" s="34">
        <v>0</v>
      </c>
      <c r="F4" s="34">
        <v>0</v>
      </c>
      <c r="G4" s="35">
        <f t="shared" ref="G4:G23" si="0">SUM(B4:F4)</f>
        <v>0</v>
      </c>
      <c r="H4" s="79"/>
    </row>
    <row r="5" spans="1:8" ht="15" thickBot="1">
      <c r="A5" s="43" t="s">
        <v>10</v>
      </c>
      <c r="B5" s="44">
        <v>0</v>
      </c>
      <c r="C5" s="44">
        <v>0</v>
      </c>
      <c r="D5" s="44">
        <v>0</v>
      </c>
      <c r="E5" s="44">
        <v>0</v>
      </c>
      <c r="F5" s="44">
        <v>0</v>
      </c>
      <c r="G5" s="45">
        <f t="shared" si="0"/>
        <v>0</v>
      </c>
      <c r="H5" s="80"/>
    </row>
    <row r="6" spans="1:8">
      <c r="A6" s="46" t="s">
        <v>11</v>
      </c>
      <c r="B6" s="47">
        <v>3</v>
      </c>
      <c r="C6" s="47">
        <v>1</v>
      </c>
      <c r="D6" s="47">
        <v>3</v>
      </c>
      <c r="E6" s="47">
        <v>15</v>
      </c>
      <c r="F6" s="47">
        <v>2</v>
      </c>
      <c r="G6" s="48">
        <f t="shared" si="0"/>
        <v>24</v>
      </c>
      <c r="H6" s="69">
        <f>SUM(G6:G9)</f>
        <v>60</v>
      </c>
    </row>
    <row r="7" spans="1:8">
      <c r="A7" s="49" t="s">
        <v>12</v>
      </c>
      <c r="B7" s="36">
        <v>0</v>
      </c>
      <c r="C7" s="36">
        <v>0</v>
      </c>
      <c r="D7" s="36">
        <v>2</v>
      </c>
      <c r="E7" s="36">
        <v>4</v>
      </c>
      <c r="F7" s="36">
        <v>4</v>
      </c>
      <c r="G7" s="37">
        <f t="shared" si="0"/>
        <v>10</v>
      </c>
      <c r="H7" s="70"/>
    </row>
    <row r="8" spans="1:8">
      <c r="A8" s="49" t="s">
        <v>13</v>
      </c>
      <c r="B8" s="36">
        <v>0</v>
      </c>
      <c r="C8" s="36">
        <v>3</v>
      </c>
      <c r="D8" s="36">
        <v>1</v>
      </c>
      <c r="E8" s="36">
        <v>4</v>
      </c>
      <c r="F8" s="36">
        <v>10</v>
      </c>
      <c r="G8" s="37">
        <f t="shared" si="0"/>
        <v>18</v>
      </c>
      <c r="H8" s="70"/>
    </row>
    <row r="9" spans="1:8" ht="15" thickBot="1">
      <c r="A9" s="50" t="s">
        <v>14</v>
      </c>
      <c r="B9" s="51">
        <v>0</v>
      </c>
      <c r="C9" s="51">
        <v>0</v>
      </c>
      <c r="D9" s="51">
        <v>2</v>
      </c>
      <c r="E9" s="51">
        <v>2</v>
      </c>
      <c r="F9" s="51">
        <v>4</v>
      </c>
      <c r="G9" s="52">
        <f t="shared" si="0"/>
        <v>8</v>
      </c>
      <c r="H9" s="71"/>
    </row>
    <row r="10" spans="1:8">
      <c r="A10" s="53" t="s">
        <v>15</v>
      </c>
      <c r="B10" s="54">
        <v>0</v>
      </c>
      <c r="C10" s="54">
        <v>2</v>
      </c>
      <c r="D10" s="54">
        <v>4</v>
      </c>
      <c r="E10" s="54">
        <v>6</v>
      </c>
      <c r="F10" s="54">
        <v>5</v>
      </c>
      <c r="G10" s="41">
        <f t="shared" si="0"/>
        <v>17</v>
      </c>
      <c r="H10" s="72">
        <f>SUM(G10:G13)</f>
        <v>40</v>
      </c>
    </row>
    <row r="11" spans="1:8">
      <c r="A11" s="55" t="s">
        <v>16</v>
      </c>
      <c r="B11" s="38">
        <v>0</v>
      </c>
      <c r="C11" s="38">
        <v>3</v>
      </c>
      <c r="D11" s="38">
        <v>0</v>
      </c>
      <c r="E11" s="38">
        <v>1</v>
      </c>
      <c r="F11" s="38">
        <v>2</v>
      </c>
      <c r="G11" s="35">
        <f t="shared" si="0"/>
        <v>6</v>
      </c>
      <c r="H11" s="73"/>
    </row>
    <row r="12" spans="1:8">
      <c r="A12" s="55" t="s">
        <v>17</v>
      </c>
      <c r="B12" s="38">
        <v>0</v>
      </c>
      <c r="C12" s="38">
        <v>2</v>
      </c>
      <c r="D12" s="38">
        <v>2</v>
      </c>
      <c r="E12" s="38">
        <v>7</v>
      </c>
      <c r="F12" s="38">
        <v>0</v>
      </c>
      <c r="G12" s="35">
        <f t="shared" si="0"/>
        <v>11</v>
      </c>
      <c r="H12" s="73"/>
    </row>
    <row r="13" spans="1:8" ht="15" thickBot="1">
      <c r="A13" s="56" t="s">
        <v>18</v>
      </c>
      <c r="B13" s="57">
        <v>0</v>
      </c>
      <c r="C13" s="57">
        <v>2</v>
      </c>
      <c r="D13" s="57">
        <v>1</v>
      </c>
      <c r="E13" s="57">
        <v>1</v>
      </c>
      <c r="F13" s="57">
        <v>2</v>
      </c>
      <c r="G13" s="45">
        <f t="shared" si="0"/>
        <v>6</v>
      </c>
      <c r="H13" s="74"/>
    </row>
    <row r="14" spans="1:8">
      <c r="A14" s="46" t="s">
        <v>19</v>
      </c>
      <c r="B14" s="47">
        <v>1</v>
      </c>
      <c r="C14" s="47">
        <v>0</v>
      </c>
      <c r="D14" s="47">
        <v>1</v>
      </c>
      <c r="E14" s="47">
        <v>3</v>
      </c>
      <c r="F14" s="47">
        <v>10</v>
      </c>
      <c r="G14" s="48">
        <f t="shared" si="0"/>
        <v>15</v>
      </c>
      <c r="H14" s="69">
        <f>SUM(G14:G17)</f>
        <v>50</v>
      </c>
    </row>
    <row r="15" spans="1:8">
      <c r="A15" s="49" t="s">
        <v>20</v>
      </c>
      <c r="B15" s="36">
        <v>2</v>
      </c>
      <c r="C15" s="36">
        <v>0</v>
      </c>
      <c r="D15" s="36">
        <v>1</v>
      </c>
      <c r="E15" s="36">
        <v>4</v>
      </c>
      <c r="F15" s="36">
        <v>9</v>
      </c>
      <c r="G15" s="37">
        <f t="shared" si="0"/>
        <v>16</v>
      </c>
      <c r="H15" s="70"/>
    </row>
    <row r="16" spans="1:8">
      <c r="A16" s="49" t="s">
        <v>21</v>
      </c>
      <c r="B16" s="36">
        <v>0</v>
      </c>
      <c r="C16" s="36">
        <v>0</v>
      </c>
      <c r="D16" s="36">
        <v>1</v>
      </c>
      <c r="E16" s="36">
        <v>6</v>
      </c>
      <c r="F16" s="36">
        <v>5</v>
      </c>
      <c r="G16" s="37">
        <f t="shared" si="0"/>
        <v>12</v>
      </c>
      <c r="H16" s="70"/>
    </row>
    <row r="17" spans="1:9" ht="15" thickBot="1">
      <c r="A17" s="50" t="s">
        <v>22</v>
      </c>
      <c r="B17" s="51">
        <v>0</v>
      </c>
      <c r="C17" s="51">
        <v>0</v>
      </c>
      <c r="D17" s="51">
        <v>0</v>
      </c>
      <c r="E17" s="51">
        <v>3</v>
      </c>
      <c r="F17" s="51">
        <v>4</v>
      </c>
      <c r="G17" s="52">
        <f t="shared" si="0"/>
        <v>7</v>
      </c>
      <c r="H17" s="71"/>
    </row>
    <row r="18" spans="1:9">
      <c r="A18" s="53" t="s">
        <v>23</v>
      </c>
      <c r="B18" s="54">
        <v>0</v>
      </c>
      <c r="C18" s="54">
        <v>3</v>
      </c>
      <c r="D18" s="54">
        <v>5</v>
      </c>
      <c r="E18" s="54">
        <v>0</v>
      </c>
      <c r="F18" s="54">
        <v>0</v>
      </c>
      <c r="G18" s="41">
        <f t="shared" si="0"/>
        <v>8</v>
      </c>
      <c r="H18" s="72">
        <f>SUM(G18:G21)</f>
        <v>34</v>
      </c>
    </row>
    <row r="19" spans="1:9">
      <c r="A19" s="55" t="s">
        <v>24</v>
      </c>
      <c r="B19" s="38">
        <v>0</v>
      </c>
      <c r="C19" s="38">
        <v>0</v>
      </c>
      <c r="D19" s="38">
        <v>7</v>
      </c>
      <c r="E19" s="38">
        <v>3</v>
      </c>
      <c r="F19" s="38">
        <v>0</v>
      </c>
      <c r="G19" s="35">
        <f t="shared" si="0"/>
        <v>10</v>
      </c>
      <c r="H19" s="73"/>
    </row>
    <row r="20" spans="1:9">
      <c r="A20" s="55" t="s">
        <v>25</v>
      </c>
      <c r="B20" s="38">
        <v>0</v>
      </c>
      <c r="C20" s="38">
        <v>3</v>
      </c>
      <c r="D20" s="38">
        <v>1</v>
      </c>
      <c r="E20" s="38">
        <v>5</v>
      </c>
      <c r="F20" s="38">
        <v>3</v>
      </c>
      <c r="G20" s="35">
        <f t="shared" si="0"/>
        <v>12</v>
      </c>
      <c r="H20" s="73"/>
    </row>
    <row r="21" spans="1:9" ht="15" thickBot="1">
      <c r="A21" s="56" t="s">
        <v>26</v>
      </c>
      <c r="B21" s="57">
        <v>1</v>
      </c>
      <c r="C21" s="57">
        <v>0</v>
      </c>
      <c r="D21" s="57">
        <v>0</v>
      </c>
      <c r="E21" s="57">
        <v>2</v>
      </c>
      <c r="F21" s="57">
        <v>1</v>
      </c>
      <c r="G21" s="45">
        <f t="shared" si="0"/>
        <v>4</v>
      </c>
      <c r="H21" s="74"/>
    </row>
    <row r="22" spans="1:9">
      <c r="A22" s="58" t="s">
        <v>27</v>
      </c>
      <c r="B22" s="47">
        <v>0</v>
      </c>
      <c r="C22" s="47">
        <v>2</v>
      </c>
      <c r="D22" s="47">
        <v>8</v>
      </c>
      <c r="E22" s="47">
        <v>1</v>
      </c>
      <c r="F22" s="47">
        <v>2</v>
      </c>
      <c r="G22" s="48">
        <f t="shared" si="0"/>
        <v>13</v>
      </c>
      <c r="H22" s="75">
        <f>SUM(G22:G24)</f>
        <v>16</v>
      </c>
    </row>
    <row r="23" spans="1:9" ht="15" thickBot="1">
      <c r="A23" s="59" t="s">
        <v>28</v>
      </c>
      <c r="B23" s="51">
        <v>0</v>
      </c>
      <c r="C23" s="51">
        <v>0</v>
      </c>
      <c r="D23" s="51">
        <v>0</v>
      </c>
      <c r="E23" s="51">
        <v>1</v>
      </c>
      <c r="F23" s="51">
        <v>2</v>
      </c>
      <c r="G23" s="52">
        <f t="shared" si="0"/>
        <v>3</v>
      </c>
      <c r="H23" s="76"/>
    </row>
    <row r="24" spans="1:9" ht="15" thickBot="1">
      <c r="A24" s="15"/>
      <c r="B24" s="1"/>
      <c r="C24" s="1"/>
      <c r="D24" s="1"/>
      <c r="E24" s="1"/>
      <c r="F24" s="1"/>
      <c r="G24" s="77"/>
      <c r="H24" s="77"/>
    </row>
    <row r="25" spans="1:9" ht="15" thickBot="1">
      <c r="A25" s="26" t="s">
        <v>29</v>
      </c>
      <c r="B25" s="21">
        <f>SUM(B2:B23)</f>
        <v>11</v>
      </c>
      <c r="C25" s="22">
        <f>SUM(C2:C23)</f>
        <v>22</v>
      </c>
      <c r="D25" s="22">
        <f>SUM(D2:D23)</f>
        <v>50</v>
      </c>
      <c r="E25" s="23">
        <f>SUM(E2:E23)</f>
        <v>79</v>
      </c>
      <c r="F25" s="24">
        <f>SUM(F2:F23)</f>
        <v>70</v>
      </c>
      <c r="G25" s="16" t="s">
        <v>30</v>
      </c>
      <c r="H25" s="19">
        <f>SUM(G2:G23)</f>
        <v>232</v>
      </c>
    </row>
    <row r="26" spans="1:9" ht="15" thickBot="1">
      <c r="A26" s="25" t="s">
        <v>31</v>
      </c>
      <c r="B26" s="27">
        <f>AVERAGE(B2:B23)</f>
        <v>0.5</v>
      </c>
      <c r="C26" s="28">
        <f>AVERAGE(C2:C23)</f>
        <v>1</v>
      </c>
      <c r="D26" s="28">
        <f>AVERAGE(D2:D23)</f>
        <v>2.2727272727272729</v>
      </c>
      <c r="E26" s="29">
        <f>AVERAGE(E2:E23)</f>
        <v>3.5909090909090908</v>
      </c>
      <c r="F26" s="30">
        <f>AVERAGE(F2:F23)</f>
        <v>3.1818181818181817</v>
      </c>
      <c r="G26" s="17" t="s">
        <v>32</v>
      </c>
      <c r="H26" s="18">
        <f>SUM(B25*1,C25*2,D25*3,E25*4,F25*5)/H25</f>
        <v>3.7543103448275863</v>
      </c>
    </row>
    <row r="27" spans="1:9" ht="15" thickBot="1">
      <c r="G27" s="31" t="s">
        <v>33</v>
      </c>
      <c r="H27" s="32">
        <f>'SEMANA 27'!H26</f>
        <v>4.0596491228070173</v>
      </c>
      <c r="I27" s="33" t="str">
        <f>_xlfn.CONCAT("", (H26-H27)/H27, "%")</f>
        <v>-0,0752130956993413%</v>
      </c>
    </row>
  </sheetData>
  <mergeCells count="7">
    <mergeCell ref="G24:H24"/>
    <mergeCell ref="H2:H5"/>
    <mergeCell ref="H6:H9"/>
    <mergeCell ref="H10:H13"/>
    <mergeCell ref="H14:H17"/>
    <mergeCell ref="H18:H21"/>
    <mergeCell ref="H22:H23"/>
  </mergeCells>
  <pageMargins left="0.511811024" right="0.511811024" top="0.78740157499999996" bottom="0.78740157499999996" header="0.31496062000000002" footer="0.31496062000000002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5EAAB-E217-46A5-8114-261E304F3F9E}">
  <dimension ref="A1:I27"/>
  <sheetViews>
    <sheetView zoomScaleNormal="100" workbookViewId="0">
      <selection activeCell="G15" sqref="G15"/>
    </sheetView>
  </sheetViews>
  <sheetFormatPr defaultRowHeight="14.45"/>
  <cols>
    <col min="1" max="1" width="24.42578125" customWidth="1"/>
    <col min="2" max="2" width="4.140625" bestFit="1" customWidth="1"/>
    <col min="3" max="3" width="7" bestFit="1" customWidth="1"/>
    <col min="4" max="4" width="9.85546875" bestFit="1" customWidth="1"/>
    <col min="5" max="5" width="12.7109375" bestFit="1" customWidth="1"/>
    <col min="6" max="6" width="15.7109375" bestFit="1" customWidth="1"/>
    <col min="7" max="7" width="33.7109375" customWidth="1"/>
    <col min="8" max="8" width="26.85546875" bestFit="1" customWidth="1"/>
    <col min="9" max="9" width="27.7109375" customWidth="1"/>
  </cols>
  <sheetData>
    <row r="1" spans="1:8" ht="15" thickBot="1">
      <c r="B1" s="4" t="s">
        <v>0</v>
      </c>
      <c r="C1" s="5" t="s">
        <v>1</v>
      </c>
      <c r="D1" s="6" t="s">
        <v>2</v>
      </c>
      <c r="E1" s="7" t="s">
        <v>3</v>
      </c>
      <c r="F1" s="8" t="s">
        <v>4</v>
      </c>
      <c r="G1" s="2" t="s">
        <v>5</v>
      </c>
      <c r="H1" s="3" t="s">
        <v>6</v>
      </c>
    </row>
    <row r="2" spans="1:8">
      <c r="A2" s="39" t="s">
        <v>7</v>
      </c>
      <c r="B2" s="40">
        <v>0</v>
      </c>
      <c r="C2" s="40">
        <v>2</v>
      </c>
      <c r="D2" s="40">
        <v>2</v>
      </c>
      <c r="E2" s="40">
        <v>13</v>
      </c>
      <c r="F2" s="40">
        <v>2</v>
      </c>
      <c r="G2" s="41">
        <f>SUM(B2:F2)</f>
        <v>19</v>
      </c>
      <c r="H2" s="78">
        <f>SUM(G2:G5)</f>
        <v>44</v>
      </c>
    </row>
    <row r="3" spans="1:8">
      <c r="A3" s="42" t="s">
        <v>8</v>
      </c>
      <c r="B3" s="34">
        <v>0</v>
      </c>
      <c r="C3" s="34">
        <v>0</v>
      </c>
      <c r="D3" s="34">
        <v>0</v>
      </c>
      <c r="E3" s="34">
        <v>3</v>
      </c>
      <c r="F3" s="34">
        <v>1</v>
      </c>
      <c r="G3" s="35">
        <f>SUM(B3:F3)</f>
        <v>4</v>
      </c>
      <c r="H3" s="79"/>
    </row>
    <row r="4" spans="1:8">
      <c r="A4" s="42" t="s">
        <v>9</v>
      </c>
      <c r="B4" s="34">
        <v>0</v>
      </c>
      <c r="C4" s="34">
        <v>0</v>
      </c>
      <c r="D4" s="34">
        <v>4</v>
      </c>
      <c r="E4" s="34">
        <v>7</v>
      </c>
      <c r="F4" s="34">
        <v>3</v>
      </c>
      <c r="G4" s="35">
        <f t="shared" ref="G4:G23" si="0">SUM(B4:F4)</f>
        <v>14</v>
      </c>
      <c r="H4" s="79"/>
    </row>
    <row r="5" spans="1:8" ht="15" thickBot="1">
      <c r="A5" s="43" t="s">
        <v>10</v>
      </c>
      <c r="B5" s="44">
        <v>0</v>
      </c>
      <c r="C5" s="44">
        <v>0</v>
      </c>
      <c r="D5" s="44">
        <v>2</v>
      </c>
      <c r="E5" s="44">
        <v>2</v>
      </c>
      <c r="F5" s="44">
        <v>3</v>
      </c>
      <c r="G5" s="45">
        <f t="shared" si="0"/>
        <v>7</v>
      </c>
      <c r="H5" s="80"/>
    </row>
    <row r="6" spans="1:8">
      <c r="A6" s="46" t="s">
        <v>11</v>
      </c>
      <c r="B6" s="47">
        <v>0</v>
      </c>
      <c r="C6" s="47">
        <v>0</v>
      </c>
      <c r="D6" s="47">
        <v>0</v>
      </c>
      <c r="E6" s="47">
        <v>0</v>
      </c>
      <c r="F6" s="47">
        <v>0</v>
      </c>
      <c r="G6" s="48">
        <f t="shared" si="0"/>
        <v>0</v>
      </c>
      <c r="H6" s="69">
        <f>SUM(G6:G9)</f>
        <v>0</v>
      </c>
    </row>
    <row r="7" spans="1:8">
      <c r="A7" s="49" t="s">
        <v>12</v>
      </c>
      <c r="B7" s="36"/>
      <c r="C7" s="36"/>
      <c r="D7" s="36"/>
      <c r="E7" s="36"/>
      <c r="F7" s="36"/>
      <c r="G7" s="37">
        <f t="shared" si="0"/>
        <v>0</v>
      </c>
      <c r="H7" s="70"/>
    </row>
    <row r="8" spans="1:8">
      <c r="A8" s="49" t="s">
        <v>13</v>
      </c>
      <c r="B8" s="36">
        <v>0</v>
      </c>
      <c r="C8" s="36">
        <v>0</v>
      </c>
      <c r="D8" s="36">
        <v>0</v>
      </c>
      <c r="E8" s="36">
        <v>0</v>
      </c>
      <c r="F8" s="36">
        <v>0</v>
      </c>
      <c r="G8" s="37">
        <f t="shared" si="0"/>
        <v>0</v>
      </c>
      <c r="H8" s="70"/>
    </row>
    <row r="9" spans="1:8" ht="15" thickBot="1">
      <c r="A9" s="50" t="s">
        <v>14</v>
      </c>
      <c r="B9" s="51"/>
      <c r="C9" s="51"/>
      <c r="D9" s="51"/>
      <c r="E9" s="51"/>
      <c r="F9" s="51"/>
      <c r="G9" s="52">
        <f t="shared" si="0"/>
        <v>0</v>
      </c>
      <c r="H9" s="71"/>
    </row>
    <row r="10" spans="1:8">
      <c r="A10" s="53" t="s">
        <v>15</v>
      </c>
      <c r="B10" s="54">
        <v>0</v>
      </c>
      <c r="C10" s="54">
        <v>1</v>
      </c>
      <c r="D10" s="54">
        <v>2</v>
      </c>
      <c r="E10" s="54">
        <v>7</v>
      </c>
      <c r="F10" s="54">
        <v>5</v>
      </c>
      <c r="G10" s="41">
        <f t="shared" si="0"/>
        <v>15</v>
      </c>
      <c r="H10" s="72">
        <f>SUM(G10:G13)</f>
        <v>37</v>
      </c>
    </row>
    <row r="11" spans="1:8">
      <c r="A11" s="55" t="s">
        <v>16</v>
      </c>
      <c r="B11" s="38">
        <v>1</v>
      </c>
      <c r="C11" s="38">
        <v>0</v>
      </c>
      <c r="D11" s="38">
        <v>0</v>
      </c>
      <c r="E11" s="38">
        <v>3</v>
      </c>
      <c r="F11" s="38">
        <v>1</v>
      </c>
      <c r="G11" s="35">
        <f t="shared" si="0"/>
        <v>5</v>
      </c>
      <c r="H11" s="73"/>
    </row>
    <row r="12" spans="1:8">
      <c r="A12" s="55" t="s">
        <v>17</v>
      </c>
      <c r="B12" s="38">
        <v>2</v>
      </c>
      <c r="C12" s="38">
        <v>0</v>
      </c>
      <c r="D12" s="38">
        <v>0</v>
      </c>
      <c r="E12" s="38">
        <v>4</v>
      </c>
      <c r="F12" s="38">
        <v>4</v>
      </c>
      <c r="G12" s="35">
        <f t="shared" si="0"/>
        <v>10</v>
      </c>
      <c r="H12" s="73"/>
    </row>
    <row r="13" spans="1:8" ht="15" thickBot="1">
      <c r="A13" s="56" t="s">
        <v>18</v>
      </c>
      <c r="B13" s="57">
        <v>0</v>
      </c>
      <c r="C13" s="57">
        <v>0</v>
      </c>
      <c r="D13" s="57">
        <v>0</v>
      </c>
      <c r="E13" s="57">
        <v>0</v>
      </c>
      <c r="F13" s="57">
        <v>7</v>
      </c>
      <c r="G13" s="45">
        <f t="shared" si="0"/>
        <v>7</v>
      </c>
      <c r="H13" s="74"/>
    </row>
    <row r="14" spans="1:8">
      <c r="A14" s="46" t="s">
        <v>19</v>
      </c>
      <c r="B14" s="47">
        <v>0</v>
      </c>
      <c r="C14" s="47">
        <v>0</v>
      </c>
      <c r="D14" s="47">
        <v>2</v>
      </c>
      <c r="E14" s="47">
        <v>4</v>
      </c>
      <c r="F14" s="47">
        <v>10</v>
      </c>
      <c r="G14" s="48">
        <f t="shared" si="0"/>
        <v>16</v>
      </c>
      <c r="H14" s="69">
        <f>SUM(G14:G17)</f>
        <v>18</v>
      </c>
    </row>
    <row r="15" spans="1:8">
      <c r="A15" s="49" t="s">
        <v>20</v>
      </c>
      <c r="B15" s="36">
        <v>0</v>
      </c>
      <c r="C15" s="36">
        <v>0</v>
      </c>
      <c r="D15" s="36">
        <v>0</v>
      </c>
      <c r="E15" s="36">
        <v>0</v>
      </c>
      <c r="F15" s="36">
        <v>2</v>
      </c>
      <c r="G15" s="37">
        <f t="shared" si="0"/>
        <v>2</v>
      </c>
      <c r="H15" s="70"/>
    </row>
    <row r="16" spans="1:8">
      <c r="A16" s="49" t="s">
        <v>21</v>
      </c>
      <c r="B16" s="36">
        <v>0</v>
      </c>
      <c r="C16" s="36">
        <v>0</v>
      </c>
      <c r="D16" s="36">
        <v>0</v>
      </c>
      <c r="E16" s="36">
        <v>0</v>
      </c>
      <c r="F16" s="36">
        <v>0</v>
      </c>
      <c r="G16" s="37">
        <f t="shared" si="0"/>
        <v>0</v>
      </c>
      <c r="H16" s="70"/>
    </row>
    <row r="17" spans="1:9" ht="15" thickBot="1">
      <c r="A17" s="50" t="s">
        <v>22</v>
      </c>
      <c r="B17" s="51"/>
      <c r="C17" s="51"/>
      <c r="D17" s="51"/>
      <c r="E17" s="51"/>
      <c r="F17" s="51"/>
      <c r="G17" s="52">
        <f t="shared" si="0"/>
        <v>0</v>
      </c>
      <c r="H17" s="71"/>
    </row>
    <row r="18" spans="1:9">
      <c r="A18" s="53" t="s">
        <v>23</v>
      </c>
      <c r="B18" s="54">
        <v>1</v>
      </c>
      <c r="C18" s="54">
        <v>0</v>
      </c>
      <c r="D18" s="54">
        <v>2</v>
      </c>
      <c r="E18" s="54">
        <v>9</v>
      </c>
      <c r="F18" s="54">
        <v>14</v>
      </c>
      <c r="G18" s="41">
        <f t="shared" si="0"/>
        <v>26</v>
      </c>
      <c r="H18" s="72">
        <f>SUM(G18:G21)</f>
        <v>53</v>
      </c>
    </row>
    <row r="19" spans="1:9">
      <c r="A19" s="55" t="s">
        <v>24</v>
      </c>
      <c r="B19" s="38">
        <v>1</v>
      </c>
      <c r="C19" s="38">
        <v>0</v>
      </c>
      <c r="D19" s="38">
        <v>0</v>
      </c>
      <c r="E19" s="38">
        <v>4</v>
      </c>
      <c r="F19" s="38">
        <v>5</v>
      </c>
      <c r="G19" s="35">
        <f t="shared" si="0"/>
        <v>10</v>
      </c>
      <c r="H19" s="73"/>
    </row>
    <row r="20" spans="1:9">
      <c r="A20" s="55" t="s">
        <v>25</v>
      </c>
      <c r="B20" s="38">
        <v>0</v>
      </c>
      <c r="C20" s="38">
        <v>2</v>
      </c>
      <c r="D20" s="38">
        <v>0</v>
      </c>
      <c r="E20" s="38">
        <v>2</v>
      </c>
      <c r="F20" s="38">
        <v>8</v>
      </c>
      <c r="G20" s="35">
        <f t="shared" si="0"/>
        <v>12</v>
      </c>
      <c r="H20" s="73"/>
    </row>
    <row r="21" spans="1:9" ht="15" thickBot="1">
      <c r="A21" s="56" t="s">
        <v>26</v>
      </c>
      <c r="B21" s="57">
        <v>0</v>
      </c>
      <c r="C21" s="57">
        <v>1</v>
      </c>
      <c r="D21" s="57">
        <v>0</v>
      </c>
      <c r="E21" s="57">
        <v>3</v>
      </c>
      <c r="F21" s="57">
        <v>1</v>
      </c>
      <c r="G21" s="45">
        <f t="shared" si="0"/>
        <v>5</v>
      </c>
      <c r="H21" s="74"/>
    </row>
    <row r="22" spans="1:9">
      <c r="A22" s="58" t="s">
        <v>27</v>
      </c>
      <c r="B22" s="47">
        <v>1</v>
      </c>
      <c r="C22" s="47">
        <v>1</v>
      </c>
      <c r="D22" s="47">
        <v>0</v>
      </c>
      <c r="E22" s="47">
        <v>2</v>
      </c>
      <c r="F22" s="47">
        <v>8</v>
      </c>
      <c r="G22" s="48">
        <f t="shared" si="0"/>
        <v>12</v>
      </c>
      <c r="H22" s="75">
        <f>SUM(G22:G24)</f>
        <v>15</v>
      </c>
    </row>
    <row r="23" spans="1:9" ht="15" thickBot="1">
      <c r="A23" s="59" t="s">
        <v>28</v>
      </c>
      <c r="B23" s="51">
        <v>0</v>
      </c>
      <c r="C23" s="51">
        <v>0</v>
      </c>
      <c r="D23" s="51">
        <v>0</v>
      </c>
      <c r="E23" s="51">
        <v>1</v>
      </c>
      <c r="F23" s="51">
        <v>2</v>
      </c>
      <c r="G23" s="52">
        <f t="shared" si="0"/>
        <v>3</v>
      </c>
      <c r="H23" s="76"/>
    </row>
    <row r="24" spans="1:9" ht="15" thickBot="1">
      <c r="A24" s="15"/>
      <c r="B24" s="1"/>
      <c r="C24" s="1"/>
      <c r="D24" s="1"/>
      <c r="E24" s="1"/>
      <c r="F24" s="1"/>
      <c r="G24" s="77"/>
      <c r="H24" s="77"/>
    </row>
    <row r="25" spans="1:9" ht="15" thickBot="1">
      <c r="A25" s="26" t="s">
        <v>29</v>
      </c>
      <c r="B25" s="21">
        <f>SUM(B2:B23)</f>
        <v>6</v>
      </c>
      <c r="C25" s="22">
        <f>SUM(C2:C23)</f>
        <v>7</v>
      </c>
      <c r="D25" s="22">
        <f>SUM(D2:D23)</f>
        <v>14</v>
      </c>
      <c r="E25" s="23">
        <f>SUM(E2:E23)</f>
        <v>64</v>
      </c>
      <c r="F25" s="24">
        <f>SUM(F2:F23)</f>
        <v>76</v>
      </c>
      <c r="G25" s="16" t="s">
        <v>30</v>
      </c>
      <c r="H25" s="19">
        <f>SUM(G2:G23)</f>
        <v>167</v>
      </c>
    </row>
    <row r="26" spans="1:9" ht="15" thickBot="1">
      <c r="A26" s="25" t="s">
        <v>31</v>
      </c>
      <c r="B26" s="27">
        <f>AVERAGE(B2:B23)</f>
        <v>0.31578947368421051</v>
      </c>
      <c r="C26" s="28">
        <f>AVERAGE(C2:C23)</f>
        <v>0.36842105263157893</v>
      </c>
      <c r="D26" s="28">
        <f>AVERAGE(D2:D23)</f>
        <v>0.73684210526315785</v>
      </c>
      <c r="E26" s="29">
        <f>AVERAGE(E2:E23)</f>
        <v>3.3684210526315788</v>
      </c>
      <c r="F26" s="30">
        <f>AVERAGE(F2:F23)</f>
        <v>4</v>
      </c>
      <c r="G26" s="17" t="s">
        <v>32</v>
      </c>
      <c r="H26" s="18">
        <f>SUM(B25*1,C25*2,D25*3,E25*4,F25*5)/H25</f>
        <v>4.1796407185628741</v>
      </c>
    </row>
    <row r="27" spans="1:9" ht="15" thickBot="1">
      <c r="G27" s="31" t="s">
        <v>33</v>
      </c>
      <c r="H27" s="32">
        <f>'SEMANA 28'!H26</f>
        <v>3.7543103448275863</v>
      </c>
      <c r="I27" s="33" t="str">
        <f>_xlfn.CONCAT("", (H26-H27)/H27, "%")</f>
        <v>0,113291213210777%</v>
      </c>
    </row>
  </sheetData>
  <mergeCells count="7">
    <mergeCell ref="G24:H24"/>
    <mergeCell ref="H2:H5"/>
    <mergeCell ref="H6:H9"/>
    <mergeCell ref="H10:H13"/>
    <mergeCell ref="H14:H17"/>
    <mergeCell ref="H18:H21"/>
    <mergeCell ref="H22:H23"/>
  </mergeCells>
  <pageMargins left="0.511811024" right="0.511811024" top="0.78740157499999996" bottom="0.78740157499999996" header="0.31496062000000002" footer="0.31496062000000002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35921-164A-44D7-966C-F806F5B7B208}">
  <dimension ref="A1:I27"/>
  <sheetViews>
    <sheetView topLeftCell="F1" zoomScaleNormal="100" workbookViewId="0">
      <selection activeCell="H28" sqref="H28"/>
    </sheetView>
  </sheetViews>
  <sheetFormatPr defaultRowHeight="14.45"/>
  <cols>
    <col min="1" max="1" width="24.42578125" customWidth="1"/>
    <col min="2" max="2" width="4.140625" bestFit="1" customWidth="1"/>
    <col min="3" max="3" width="7" bestFit="1" customWidth="1"/>
    <col min="4" max="4" width="9.85546875" bestFit="1" customWidth="1"/>
    <col min="5" max="5" width="12.7109375" bestFit="1" customWidth="1"/>
    <col min="6" max="6" width="15.7109375" bestFit="1" customWidth="1"/>
    <col min="7" max="7" width="33.7109375" customWidth="1"/>
    <col min="8" max="8" width="26.85546875" bestFit="1" customWidth="1"/>
    <col min="9" max="9" width="27.7109375" customWidth="1"/>
  </cols>
  <sheetData>
    <row r="1" spans="1:8" ht="15" thickBot="1">
      <c r="B1" s="4" t="s">
        <v>0</v>
      </c>
      <c r="C1" s="5" t="s">
        <v>1</v>
      </c>
      <c r="D1" s="6" t="s">
        <v>2</v>
      </c>
      <c r="E1" s="7" t="s">
        <v>3</v>
      </c>
      <c r="F1" s="8" t="s">
        <v>4</v>
      </c>
      <c r="G1" s="2" t="s">
        <v>5</v>
      </c>
      <c r="H1" s="3" t="s">
        <v>6</v>
      </c>
    </row>
    <row r="2" spans="1:8">
      <c r="A2" s="39" t="s">
        <v>7</v>
      </c>
      <c r="B2" s="40">
        <v>6</v>
      </c>
      <c r="C2" s="40">
        <v>2</v>
      </c>
      <c r="D2" s="40">
        <v>1</v>
      </c>
      <c r="E2" s="40">
        <v>7</v>
      </c>
      <c r="F2" s="40">
        <v>2</v>
      </c>
      <c r="G2" s="41">
        <f>SUM(B2:F2)</f>
        <v>18</v>
      </c>
      <c r="H2" s="78">
        <f>SUM(G2:G5)</f>
        <v>54</v>
      </c>
    </row>
    <row r="3" spans="1:8">
      <c r="A3" s="42" t="s">
        <v>8</v>
      </c>
      <c r="B3" s="34">
        <v>0</v>
      </c>
      <c r="C3" s="34">
        <v>0</v>
      </c>
      <c r="D3" s="34">
        <v>2</v>
      </c>
      <c r="E3" s="34">
        <v>4</v>
      </c>
      <c r="F3" s="34">
        <v>1</v>
      </c>
      <c r="G3" s="35">
        <f>SUM(B3:F3)</f>
        <v>7</v>
      </c>
      <c r="H3" s="79"/>
    </row>
    <row r="4" spans="1:8">
      <c r="A4" s="42" t="s">
        <v>9</v>
      </c>
      <c r="B4" s="34">
        <v>0</v>
      </c>
      <c r="C4" s="34">
        <v>1</v>
      </c>
      <c r="D4" s="34">
        <v>9</v>
      </c>
      <c r="E4" s="34">
        <v>7</v>
      </c>
      <c r="F4" s="34">
        <v>3</v>
      </c>
      <c r="G4" s="35">
        <f t="shared" ref="G4:G23" si="0">SUM(B4:F4)</f>
        <v>20</v>
      </c>
      <c r="H4" s="79"/>
    </row>
    <row r="5" spans="1:8" ht="15" thickBot="1">
      <c r="A5" s="43" t="s">
        <v>10</v>
      </c>
      <c r="B5" s="44">
        <v>0</v>
      </c>
      <c r="C5" s="44">
        <v>1</v>
      </c>
      <c r="D5" s="44">
        <v>2</v>
      </c>
      <c r="E5" s="44">
        <v>5</v>
      </c>
      <c r="F5" s="44">
        <v>1</v>
      </c>
      <c r="G5" s="45">
        <f t="shared" si="0"/>
        <v>9</v>
      </c>
      <c r="H5" s="80"/>
    </row>
    <row r="6" spans="1:8">
      <c r="A6" s="46" t="s">
        <v>11</v>
      </c>
      <c r="B6" s="47">
        <v>0</v>
      </c>
      <c r="C6" s="47">
        <v>0</v>
      </c>
      <c r="D6" s="47">
        <v>0</v>
      </c>
      <c r="E6" s="47">
        <v>0</v>
      </c>
      <c r="F6" s="47">
        <v>0</v>
      </c>
      <c r="G6" s="48">
        <f t="shared" si="0"/>
        <v>0</v>
      </c>
      <c r="H6" s="69">
        <f>SUM(G6:G9)</f>
        <v>39</v>
      </c>
    </row>
    <row r="7" spans="1:8">
      <c r="A7" s="49" t="s">
        <v>12</v>
      </c>
      <c r="B7" s="36"/>
      <c r="C7" s="36"/>
      <c r="D7" s="36"/>
      <c r="E7" s="36"/>
      <c r="F7" s="36"/>
      <c r="G7" s="37">
        <f t="shared" si="0"/>
        <v>0</v>
      </c>
      <c r="H7" s="70"/>
    </row>
    <row r="8" spans="1:8">
      <c r="A8" s="49" t="s">
        <v>13</v>
      </c>
      <c r="B8" s="36">
        <v>3</v>
      </c>
      <c r="C8" s="36">
        <v>5</v>
      </c>
      <c r="D8" s="36">
        <v>9</v>
      </c>
      <c r="E8" s="36">
        <v>9</v>
      </c>
      <c r="F8" s="36">
        <v>6</v>
      </c>
      <c r="G8" s="37">
        <f t="shared" si="0"/>
        <v>32</v>
      </c>
      <c r="H8" s="70"/>
    </row>
    <row r="9" spans="1:8" ht="15" thickBot="1">
      <c r="A9" s="50" t="s">
        <v>14</v>
      </c>
      <c r="B9" s="51">
        <v>0</v>
      </c>
      <c r="C9" s="51">
        <v>1</v>
      </c>
      <c r="D9" s="51">
        <v>3</v>
      </c>
      <c r="E9" s="51">
        <v>0</v>
      </c>
      <c r="F9" s="51">
        <v>3</v>
      </c>
      <c r="G9" s="52">
        <f t="shared" si="0"/>
        <v>7</v>
      </c>
      <c r="H9" s="71"/>
    </row>
    <row r="10" spans="1:8">
      <c r="A10" s="53" t="s">
        <v>15</v>
      </c>
      <c r="B10" s="54">
        <v>0</v>
      </c>
      <c r="C10" s="54">
        <v>2</v>
      </c>
      <c r="D10" s="54">
        <v>4</v>
      </c>
      <c r="E10" s="54">
        <v>11</v>
      </c>
      <c r="F10" s="54">
        <v>0</v>
      </c>
      <c r="G10" s="41">
        <f t="shared" si="0"/>
        <v>17</v>
      </c>
      <c r="H10" s="72">
        <f>SUM(G10:G13)</f>
        <v>55</v>
      </c>
    </row>
    <row r="11" spans="1:8">
      <c r="A11" s="55" t="s">
        <v>16</v>
      </c>
      <c r="B11" s="38">
        <v>0</v>
      </c>
      <c r="C11" s="38">
        <v>2</v>
      </c>
      <c r="D11" s="38">
        <v>0</v>
      </c>
      <c r="E11" s="38">
        <v>2</v>
      </c>
      <c r="F11" s="38">
        <v>2</v>
      </c>
      <c r="G11" s="35">
        <f t="shared" si="0"/>
        <v>6</v>
      </c>
      <c r="H11" s="73"/>
    </row>
    <row r="12" spans="1:8">
      <c r="A12" s="55" t="s">
        <v>17</v>
      </c>
      <c r="B12" s="38">
        <v>0</v>
      </c>
      <c r="C12" s="38">
        <v>2</v>
      </c>
      <c r="D12" s="38">
        <v>8</v>
      </c>
      <c r="E12" s="38">
        <v>7</v>
      </c>
      <c r="F12" s="38">
        <v>6</v>
      </c>
      <c r="G12" s="35">
        <f t="shared" si="0"/>
        <v>23</v>
      </c>
      <c r="H12" s="73"/>
    </row>
    <row r="13" spans="1:8" ht="15" thickBot="1">
      <c r="A13" s="56" t="s">
        <v>18</v>
      </c>
      <c r="B13" s="57">
        <v>0</v>
      </c>
      <c r="C13" s="57">
        <v>1</v>
      </c>
      <c r="D13" s="57">
        <v>0</v>
      </c>
      <c r="E13" s="57">
        <v>2</v>
      </c>
      <c r="F13" s="57">
        <v>6</v>
      </c>
      <c r="G13" s="45">
        <f t="shared" si="0"/>
        <v>9</v>
      </c>
      <c r="H13" s="74"/>
    </row>
    <row r="14" spans="1:8">
      <c r="A14" s="46" t="s">
        <v>19</v>
      </c>
      <c r="B14" s="47">
        <v>0</v>
      </c>
      <c r="C14" s="47">
        <v>0</v>
      </c>
      <c r="D14" s="47">
        <v>3</v>
      </c>
      <c r="E14" s="47">
        <v>7</v>
      </c>
      <c r="F14" s="47">
        <v>4</v>
      </c>
      <c r="G14" s="48">
        <f t="shared" si="0"/>
        <v>14</v>
      </c>
      <c r="H14" s="69">
        <f>SUM(G14:G17)</f>
        <v>32</v>
      </c>
    </row>
    <row r="15" spans="1:8">
      <c r="A15" s="49" t="s">
        <v>20</v>
      </c>
      <c r="B15" s="36">
        <v>0</v>
      </c>
      <c r="C15" s="36">
        <v>0</v>
      </c>
      <c r="D15" s="36">
        <v>1</v>
      </c>
      <c r="E15" s="36">
        <v>2</v>
      </c>
      <c r="F15" s="36">
        <v>2</v>
      </c>
      <c r="G15" s="37">
        <f t="shared" si="0"/>
        <v>5</v>
      </c>
      <c r="H15" s="70"/>
    </row>
    <row r="16" spans="1:8">
      <c r="A16" s="49" t="s">
        <v>21</v>
      </c>
      <c r="B16" s="36">
        <v>0</v>
      </c>
      <c r="C16" s="36">
        <v>0</v>
      </c>
      <c r="D16" s="36">
        <v>0</v>
      </c>
      <c r="E16" s="36">
        <v>5</v>
      </c>
      <c r="F16" s="36">
        <v>4</v>
      </c>
      <c r="G16" s="37">
        <f t="shared" si="0"/>
        <v>9</v>
      </c>
      <c r="H16" s="70"/>
    </row>
    <row r="17" spans="1:9" ht="15" thickBot="1">
      <c r="A17" s="50" t="s">
        <v>22</v>
      </c>
      <c r="B17" s="51">
        <v>0</v>
      </c>
      <c r="C17" s="51">
        <v>0</v>
      </c>
      <c r="D17" s="51">
        <v>0</v>
      </c>
      <c r="E17" s="51">
        <v>2</v>
      </c>
      <c r="F17" s="51">
        <v>2</v>
      </c>
      <c r="G17" s="52">
        <f t="shared" si="0"/>
        <v>4</v>
      </c>
      <c r="H17" s="71"/>
    </row>
    <row r="18" spans="1:9">
      <c r="A18" s="53" t="s">
        <v>23</v>
      </c>
      <c r="B18" s="54">
        <v>0</v>
      </c>
      <c r="C18" s="54">
        <v>1</v>
      </c>
      <c r="D18" s="54">
        <v>7</v>
      </c>
      <c r="E18" s="54">
        <v>1</v>
      </c>
      <c r="F18" s="54">
        <v>4</v>
      </c>
      <c r="G18" s="41">
        <f t="shared" si="0"/>
        <v>13</v>
      </c>
      <c r="H18" s="72">
        <f>SUM(G18:G21)</f>
        <v>34</v>
      </c>
    </row>
    <row r="19" spans="1:9">
      <c r="A19" s="55" t="s">
        <v>24</v>
      </c>
      <c r="B19" s="38">
        <v>0</v>
      </c>
      <c r="C19" s="38">
        <v>0</v>
      </c>
      <c r="D19" s="38">
        <v>0</v>
      </c>
      <c r="E19" s="38">
        <v>2</v>
      </c>
      <c r="F19" s="38">
        <v>3</v>
      </c>
      <c r="G19" s="35">
        <f t="shared" si="0"/>
        <v>5</v>
      </c>
      <c r="H19" s="73"/>
    </row>
    <row r="20" spans="1:9">
      <c r="A20" s="55" t="s">
        <v>25</v>
      </c>
      <c r="B20" s="38">
        <v>3</v>
      </c>
      <c r="C20" s="38">
        <v>0</v>
      </c>
      <c r="D20" s="38">
        <v>4</v>
      </c>
      <c r="E20" s="38">
        <v>6</v>
      </c>
      <c r="F20" s="38">
        <v>0</v>
      </c>
      <c r="G20" s="35">
        <f t="shared" si="0"/>
        <v>13</v>
      </c>
      <c r="H20" s="73"/>
    </row>
    <row r="21" spans="1:9" ht="15" thickBot="1">
      <c r="A21" s="56" t="s">
        <v>26</v>
      </c>
      <c r="B21" s="57">
        <v>0</v>
      </c>
      <c r="C21" s="57">
        <v>0</v>
      </c>
      <c r="D21" s="57">
        <v>0</v>
      </c>
      <c r="E21" s="57">
        <v>3</v>
      </c>
      <c r="F21" s="57">
        <v>0</v>
      </c>
      <c r="G21" s="45">
        <f t="shared" si="0"/>
        <v>3</v>
      </c>
      <c r="H21" s="74"/>
    </row>
    <row r="22" spans="1:9">
      <c r="A22" s="58" t="s">
        <v>27</v>
      </c>
      <c r="B22" s="47">
        <v>1</v>
      </c>
      <c r="C22" s="47">
        <v>0</v>
      </c>
      <c r="D22" s="47">
        <v>5</v>
      </c>
      <c r="E22" s="47">
        <v>2</v>
      </c>
      <c r="F22" s="47">
        <v>4</v>
      </c>
      <c r="G22" s="48">
        <f t="shared" si="0"/>
        <v>12</v>
      </c>
      <c r="H22" s="75">
        <f>SUM(G22:G24)</f>
        <v>14</v>
      </c>
    </row>
    <row r="23" spans="1:9" ht="15" thickBot="1">
      <c r="A23" s="59" t="s">
        <v>28</v>
      </c>
      <c r="B23" s="51">
        <v>0</v>
      </c>
      <c r="C23" s="51">
        <v>0</v>
      </c>
      <c r="D23" s="51">
        <v>0</v>
      </c>
      <c r="E23" s="51">
        <v>1</v>
      </c>
      <c r="F23" s="51">
        <v>1</v>
      </c>
      <c r="G23" s="52">
        <f t="shared" si="0"/>
        <v>2</v>
      </c>
      <c r="H23" s="76"/>
    </row>
    <row r="24" spans="1:9" ht="15" thickBot="1">
      <c r="A24" s="15"/>
      <c r="B24" s="1"/>
      <c r="C24" s="1"/>
      <c r="D24" s="1"/>
      <c r="E24" s="1"/>
      <c r="F24" s="1"/>
      <c r="G24" s="77"/>
      <c r="H24" s="77"/>
    </row>
    <row r="25" spans="1:9" ht="15" thickBot="1">
      <c r="A25" s="26" t="s">
        <v>29</v>
      </c>
      <c r="B25" s="21">
        <f>SUM(B2:B23)</f>
        <v>13</v>
      </c>
      <c r="C25" s="22">
        <f>SUM(C2:C23)</f>
        <v>18</v>
      </c>
      <c r="D25" s="22">
        <f>SUM(D2:D23)</f>
        <v>58</v>
      </c>
      <c r="E25" s="23">
        <f>SUM(E2:E23)</f>
        <v>85</v>
      </c>
      <c r="F25" s="24">
        <f>SUM(F2:F23)</f>
        <v>54</v>
      </c>
      <c r="G25" s="16" t="s">
        <v>30</v>
      </c>
      <c r="H25" s="19">
        <f>SUM(G2:G23)</f>
        <v>228</v>
      </c>
    </row>
    <row r="26" spans="1:9" ht="15" thickBot="1">
      <c r="A26" s="25" t="s">
        <v>31</v>
      </c>
      <c r="B26" s="27">
        <f>AVERAGE(B2:B23)</f>
        <v>0.61904761904761907</v>
      </c>
      <c r="C26" s="28">
        <f>AVERAGE(C2:C23)</f>
        <v>0.8571428571428571</v>
      </c>
      <c r="D26" s="28">
        <f>AVERAGE(D2:D23)</f>
        <v>2.7619047619047619</v>
      </c>
      <c r="E26" s="29">
        <f>AVERAGE(E2:E23)</f>
        <v>4.0476190476190474</v>
      </c>
      <c r="F26" s="30">
        <f>AVERAGE(F2:F23)</f>
        <v>2.5714285714285716</v>
      </c>
      <c r="G26" s="17" t="s">
        <v>32</v>
      </c>
      <c r="H26" s="18">
        <f>SUM(B25*1,C25*2,D25*3,E25*4,F25*5)/H25</f>
        <v>3.6535087719298245</v>
      </c>
    </row>
    <row r="27" spans="1:9" ht="15" thickBot="1">
      <c r="G27" s="31" t="s">
        <v>33</v>
      </c>
      <c r="H27" s="32">
        <f>'SEMANA 29'!H26</f>
        <v>4.1796407185628741</v>
      </c>
      <c r="I27" s="33" t="str">
        <f>_xlfn.CONCAT("", (H26-H27)/H27, "%")</f>
        <v>-0,125879706429397%</v>
      </c>
    </row>
  </sheetData>
  <mergeCells count="7">
    <mergeCell ref="G24:H24"/>
    <mergeCell ref="H2:H5"/>
    <mergeCell ref="H6:H9"/>
    <mergeCell ref="H10:H13"/>
    <mergeCell ref="H14:H17"/>
    <mergeCell ref="H18:H21"/>
    <mergeCell ref="H22:H23"/>
  </mergeCells>
  <pageMargins left="0.511811024" right="0.511811024" top="0.78740157499999996" bottom="0.78740157499999996" header="0.31496062000000002" footer="0.31496062000000002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9E2B4-3F8B-47C5-938F-9871314A9FFA}">
  <dimension ref="A1:I27"/>
  <sheetViews>
    <sheetView zoomScaleNormal="100" workbookViewId="0">
      <selection activeCell="B2" sqref="B2:F2 B4:F4 B6:F6 B8:F8 B10:F10 B12:F12 B14:F14 B16:F16 B18:F18 B20:F20 B22:F22"/>
    </sheetView>
  </sheetViews>
  <sheetFormatPr defaultRowHeight="14.45"/>
  <cols>
    <col min="1" max="1" width="24.42578125" customWidth="1"/>
    <col min="2" max="2" width="4.140625" bestFit="1" customWidth="1"/>
    <col min="3" max="3" width="7" bestFit="1" customWidth="1"/>
    <col min="4" max="4" width="9.85546875" bestFit="1" customWidth="1"/>
    <col min="5" max="5" width="12.7109375" bestFit="1" customWidth="1"/>
    <col min="6" max="6" width="15.7109375" bestFit="1" customWidth="1"/>
    <col min="7" max="7" width="33.7109375" customWidth="1"/>
    <col min="8" max="8" width="26.85546875" bestFit="1" customWidth="1"/>
    <col min="9" max="9" width="27.7109375" customWidth="1"/>
  </cols>
  <sheetData>
    <row r="1" spans="1:8" ht="15" thickBot="1">
      <c r="B1" s="4" t="s">
        <v>0</v>
      </c>
      <c r="C1" s="5" t="s">
        <v>1</v>
      </c>
      <c r="D1" s="6" t="s">
        <v>2</v>
      </c>
      <c r="E1" s="7" t="s">
        <v>3</v>
      </c>
      <c r="F1" s="8" t="s">
        <v>4</v>
      </c>
      <c r="G1" s="2" t="s">
        <v>5</v>
      </c>
      <c r="H1" s="3" t="s">
        <v>6</v>
      </c>
    </row>
    <row r="2" spans="1:8">
      <c r="A2" s="39" t="s">
        <v>7</v>
      </c>
      <c r="B2" s="40">
        <v>2</v>
      </c>
      <c r="C2" s="40">
        <v>0</v>
      </c>
      <c r="D2" s="40">
        <v>3</v>
      </c>
      <c r="E2" s="40">
        <v>35</v>
      </c>
      <c r="F2" s="40">
        <v>9</v>
      </c>
      <c r="G2" s="41">
        <f>SUM(B2:F2)</f>
        <v>49</v>
      </c>
      <c r="H2" s="78">
        <f>SUM(G2:G5)</f>
        <v>139</v>
      </c>
    </row>
    <row r="3" spans="1:8">
      <c r="A3" s="42" t="s">
        <v>8</v>
      </c>
      <c r="B3" s="34">
        <v>0</v>
      </c>
      <c r="C3" s="34">
        <v>2</v>
      </c>
      <c r="D3" s="34">
        <v>0</v>
      </c>
      <c r="E3" s="34">
        <v>10</v>
      </c>
      <c r="F3" s="34">
        <v>29</v>
      </c>
      <c r="G3" s="35">
        <f>SUM(B3:F3)</f>
        <v>41</v>
      </c>
      <c r="H3" s="79"/>
    </row>
    <row r="4" spans="1:8">
      <c r="A4" s="42" t="s">
        <v>9</v>
      </c>
      <c r="B4" s="34">
        <v>1</v>
      </c>
      <c r="C4" s="34">
        <v>6</v>
      </c>
      <c r="D4" s="34">
        <v>2</v>
      </c>
      <c r="E4" s="34">
        <v>1</v>
      </c>
      <c r="F4" s="34">
        <v>10</v>
      </c>
      <c r="G4" s="35">
        <f t="shared" ref="G4:G23" si="0">SUM(B4:F4)</f>
        <v>20</v>
      </c>
      <c r="H4" s="79"/>
    </row>
    <row r="5" spans="1:8" ht="15" thickBot="1">
      <c r="A5" s="43" t="s">
        <v>10</v>
      </c>
      <c r="B5" s="44">
        <v>7</v>
      </c>
      <c r="C5" s="44">
        <v>2</v>
      </c>
      <c r="D5" s="44">
        <v>1</v>
      </c>
      <c r="E5" s="44">
        <v>15</v>
      </c>
      <c r="F5" s="44">
        <v>4</v>
      </c>
      <c r="G5" s="45">
        <f t="shared" si="0"/>
        <v>29</v>
      </c>
      <c r="H5" s="80"/>
    </row>
    <row r="6" spans="1:8">
      <c r="A6" s="46" t="s">
        <v>11</v>
      </c>
      <c r="B6" s="47">
        <v>15</v>
      </c>
      <c r="C6" s="47">
        <v>1</v>
      </c>
      <c r="D6" s="47">
        <v>8</v>
      </c>
      <c r="E6" s="47">
        <v>15</v>
      </c>
      <c r="F6" s="47">
        <v>7</v>
      </c>
      <c r="G6" s="48">
        <f t="shared" si="0"/>
        <v>46</v>
      </c>
      <c r="H6" s="69">
        <f>SUM(G6:G9)</f>
        <v>113</v>
      </c>
    </row>
    <row r="7" spans="1:8">
      <c r="A7" s="49" t="s">
        <v>12</v>
      </c>
      <c r="B7" s="36">
        <v>1</v>
      </c>
      <c r="C7" s="36">
        <v>1</v>
      </c>
      <c r="D7" s="36">
        <v>11</v>
      </c>
      <c r="E7" s="36">
        <v>10</v>
      </c>
      <c r="F7" s="36">
        <v>4</v>
      </c>
      <c r="G7" s="37">
        <f t="shared" si="0"/>
        <v>27</v>
      </c>
      <c r="H7" s="70"/>
    </row>
    <row r="8" spans="1:8">
      <c r="A8" s="49" t="s">
        <v>13</v>
      </c>
      <c r="B8" s="36">
        <v>2</v>
      </c>
      <c r="C8" s="36">
        <v>2</v>
      </c>
      <c r="D8" s="36">
        <v>4</v>
      </c>
      <c r="E8" s="36">
        <v>3</v>
      </c>
      <c r="F8" s="36">
        <v>12</v>
      </c>
      <c r="G8" s="37">
        <f t="shared" si="0"/>
        <v>23</v>
      </c>
      <c r="H8" s="70"/>
    </row>
    <row r="9" spans="1:8" ht="15" thickBot="1">
      <c r="A9" s="50" t="s">
        <v>14</v>
      </c>
      <c r="B9" s="51">
        <v>0</v>
      </c>
      <c r="C9" s="51">
        <v>1</v>
      </c>
      <c r="D9" s="51">
        <v>9</v>
      </c>
      <c r="E9" s="51">
        <v>4</v>
      </c>
      <c r="F9" s="51">
        <v>3</v>
      </c>
      <c r="G9" s="52">
        <f t="shared" si="0"/>
        <v>17</v>
      </c>
      <c r="H9" s="71"/>
    </row>
    <row r="10" spans="1:8">
      <c r="A10" s="53" t="s">
        <v>15</v>
      </c>
      <c r="B10" s="54">
        <v>2</v>
      </c>
      <c r="C10" s="54">
        <v>7</v>
      </c>
      <c r="D10" s="54">
        <v>20</v>
      </c>
      <c r="E10" s="54">
        <v>7</v>
      </c>
      <c r="F10" s="54">
        <v>6</v>
      </c>
      <c r="G10" s="41">
        <f t="shared" si="0"/>
        <v>42</v>
      </c>
      <c r="H10" s="72">
        <f>SUM(G10:G13)</f>
        <v>134</v>
      </c>
    </row>
    <row r="11" spans="1:8">
      <c r="A11" s="55" t="s">
        <v>16</v>
      </c>
      <c r="B11" s="38">
        <v>0</v>
      </c>
      <c r="C11" s="38">
        <v>0</v>
      </c>
      <c r="D11" s="38">
        <v>5</v>
      </c>
      <c r="E11" s="38">
        <v>15</v>
      </c>
      <c r="F11" s="38">
        <v>10</v>
      </c>
      <c r="G11" s="35">
        <f t="shared" si="0"/>
        <v>30</v>
      </c>
      <c r="H11" s="73"/>
    </row>
    <row r="12" spans="1:8">
      <c r="A12" s="55" t="s">
        <v>17</v>
      </c>
      <c r="B12" s="38">
        <v>0</v>
      </c>
      <c r="C12" s="38">
        <v>2</v>
      </c>
      <c r="D12" s="38">
        <v>2</v>
      </c>
      <c r="E12" s="38">
        <v>7</v>
      </c>
      <c r="F12" s="38">
        <v>30</v>
      </c>
      <c r="G12" s="35">
        <f t="shared" si="0"/>
        <v>41</v>
      </c>
      <c r="H12" s="73"/>
    </row>
    <row r="13" spans="1:8" ht="15" thickBot="1">
      <c r="A13" s="56" t="s">
        <v>18</v>
      </c>
      <c r="B13" s="57">
        <v>0</v>
      </c>
      <c r="C13" s="57">
        <v>1</v>
      </c>
      <c r="D13" s="57">
        <v>5</v>
      </c>
      <c r="E13" s="57">
        <v>9</v>
      </c>
      <c r="F13" s="57">
        <v>6</v>
      </c>
      <c r="G13" s="45">
        <f t="shared" si="0"/>
        <v>21</v>
      </c>
      <c r="H13" s="74"/>
    </row>
    <row r="14" spans="1:8">
      <c r="A14" s="46" t="s">
        <v>19</v>
      </c>
      <c r="B14" s="47">
        <v>1</v>
      </c>
      <c r="C14" s="47">
        <v>0</v>
      </c>
      <c r="D14" s="47">
        <v>4</v>
      </c>
      <c r="E14" s="47">
        <v>10</v>
      </c>
      <c r="F14" s="47">
        <v>6</v>
      </c>
      <c r="G14" s="48">
        <f t="shared" si="0"/>
        <v>21</v>
      </c>
      <c r="H14" s="69">
        <f>SUM(G14:G17)</f>
        <v>69</v>
      </c>
    </row>
    <row r="15" spans="1:8">
      <c r="A15" s="49" t="s">
        <v>20</v>
      </c>
      <c r="B15" s="36">
        <v>0</v>
      </c>
      <c r="C15" s="36">
        <v>4</v>
      </c>
      <c r="D15" s="36">
        <v>4</v>
      </c>
      <c r="E15" s="36">
        <v>6</v>
      </c>
      <c r="F15" s="36">
        <v>0</v>
      </c>
      <c r="G15" s="37">
        <f t="shared" si="0"/>
        <v>14</v>
      </c>
      <c r="H15" s="70"/>
    </row>
    <row r="16" spans="1:8">
      <c r="A16" s="49" t="s">
        <v>21</v>
      </c>
      <c r="B16" s="36">
        <v>16</v>
      </c>
      <c r="C16" s="36">
        <v>3</v>
      </c>
      <c r="D16" s="36">
        <v>5</v>
      </c>
      <c r="E16" s="36">
        <v>0</v>
      </c>
      <c r="F16" s="36">
        <v>1</v>
      </c>
      <c r="G16" s="37">
        <f t="shared" si="0"/>
        <v>25</v>
      </c>
      <c r="H16" s="70"/>
    </row>
    <row r="17" spans="1:9" ht="15" thickBot="1">
      <c r="A17" s="50" t="s">
        <v>22</v>
      </c>
      <c r="B17" s="51">
        <v>3</v>
      </c>
      <c r="C17" s="51">
        <v>0</v>
      </c>
      <c r="D17" s="51">
        <v>0</v>
      </c>
      <c r="E17" s="51">
        <v>4</v>
      </c>
      <c r="F17" s="51">
        <v>2</v>
      </c>
      <c r="G17" s="52">
        <f t="shared" si="0"/>
        <v>9</v>
      </c>
      <c r="H17" s="71"/>
    </row>
    <row r="18" spans="1:9">
      <c r="A18" s="53" t="s">
        <v>23</v>
      </c>
      <c r="B18" s="54">
        <v>0</v>
      </c>
      <c r="C18" s="54">
        <v>3</v>
      </c>
      <c r="D18" s="54">
        <v>7</v>
      </c>
      <c r="E18" s="54">
        <v>14</v>
      </c>
      <c r="F18" s="54">
        <v>9</v>
      </c>
      <c r="G18" s="41">
        <f t="shared" si="0"/>
        <v>33</v>
      </c>
      <c r="H18" s="72">
        <f>SUM(G18:G21)</f>
        <v>93</v>
      </c>
    </row>
    <row r="19" spans="1:9">
      <c r="A19" s="55" t="s">
        <v>24</v>
      </c>
      <c r="B19" s="38">
        <v>0</v>
      </c>
      <c r="C19" s="38">
        <v>0</v>
      </c>
      <c r="D19" s="38">
        <v>1</v>
      </c>
      <c r="E19" s="38">
        <v>9</v>
      </c>
      <c r="F19" s="38">
        <v>6</v>
      </c>
      <c r="G19" s="35">
        <f t="shared" si="0"/>
        <v>16</v>
      </c>
      <c r="H19" s="73"/>
    </row>
    <row r="20" spans="1:9">
      <c r="A20" s="55" t="s">
        <v>25</v>
      </c>
      <c r="B20" s="38">
        <v>0</v>
      </c>
      <c r="C20" s="38">
        <v>0</v>
      </c>
      <c r="D20" s="38">
        <v>1</v>
      </c>
      <c r="E20" s="38">
        <v>6</v>
      </c>
      <c r="F20" s="38">
        <v>18</v>
      </c>
      <c r="G20" s="35">
        <f t="shared" si="0"/>
        <v>25</v>
      </c>
      <c r="H20" s="73"/>
    </row>
    <row r="21" spans="1:9" ht="15" thickBot="1">
      <c r="A21" s="56" t="s">
        <v>26</v>
      </c>
      <c r="B21" s="57">
        <v>0</v>
      </c>
      <c r="C21" s="57">
        <v>0</v>
      </c>
      <c r="D21" s="57">
        <v>0</v>
      </c>
      <c r="E21" s="57">
        <v>1</v>
      </c>
      <c r="F21" s="57">
        <v>18</v>
      </c>
      <c r="G21" s="45">
        <f t="shared" si="0"/>
        <v>19</v>
      </c>
      <c r="H21" s="74"/>
    </row>
    <row r="22" spans="1:9">
      <c r="A22" s="58" t="s">
        <v>27</v>
      </c>
      <c r="B22" s="47">
        <v>0</v>
      </c>
      <c r="C22" s="47">
        <v>1</v>
      </c>
      <c r="D22" s="47">
        <v>0</v>
      </c>
      <c r="E22" s="47">
        <v>4</v>
      </c>
      <c r="F22" s="47">
        <v>11</v>
      </c>
      <c r="G22" s="48">
        <f t="shared" si="0"/>
        <v>16</v>
      </c>
      <c r="H22" s="75">
        <f>SUM(G22:G24)</f>
        <v>28</v>
      </c>
    </row>
    <row r="23" spans="1:9" ht="15" thickBot="1">
      <c r="A23" s="59" t="s">
        <v>28</v>
      </c>
      <c r="B23" s="51">
        <v>0</v>
      </c>
      <c r="C23" s="51">
        <v>0</v>
      </c>
      <c r="D23" s="51">
        <v>1</v>
      </c>
      <c r="E23" s="51">
        <v>3</v>
      </c>
      <c r="F23" s="51">
        <v>8</v>
      </c>
      <c r="G23" s="52">
        <f t="shared" si="0"/>
        <v>12</v>
      </c>
      <c r="H23" s="76"/>
    </row>
    <row r="24" spans="1:9" ht="15" thickBot="1">
      <c r="A24" s="15"/>
      <c r="B24" s="1"/>
      <c r="C24" s="1"/>
      <c r="D24" s="1"/>
      <c r="E24" s="1"/>
      <c r="F24" s="1"/>
      <c r="G24" s="77"/>
      <c r="H24" s="77"/>
    </row>
    <row r="25" spans="1:9" ht="15" thickBot="1">
      <c r="A25" s="26" t="s">
        <v>29</v>
      </c>
      <c r="B25" s="21">
        <f>SUM(B2:B23)</f>
        <v>50</v>
      </c>
      <c r="C25" s="22">
        <f>SUM(C2:C23)</f>
        <v>36</v>
      </c>
      <c r="D25" s="22">
        <f>SUM(D2:D23)</f>
        <v>93</v>
      </c>
      <c r="E25" s="23">
        <f>SUM(E2:E23)</f>
        <v>188</v>
      </c>
      <c r="F25" s="24">
        <f>SUM(F2:F23)</f>
        <v>209</v>
      </c>
      <c r="G25" s="16" t="s">
        <v>30</v>
      </c>
      <c r="H25" s="19">
        <f>SUM(G2:G23)</f>
        <v>576</v>
      </c>
    </row>
    <row r="26" spans="1:9" ht="15" thickBot="1">
      <c r="A26" s="25" t="s">
        <v>31</v>
      </c>
      <c r="B26" s="27">
        <f>AVERAGE(B2:B23)</f>
        <v>2.2727272727272729</v>
      </c>
      <c r="C26" s="28">
        <f>AVERAGE(C2:C23)</f>
        <v>1.6363636363636365</v>
      </c>
      <c r="D26" s="28">
        <f>AVERAGE(D2:D23)</f>
        <v>4.2272727272727275</v>
      </c>
      <c r="E26" s="29">
        <f>AVERAGE(E2:E23)</f>
        <v>8.545454545454545</v>
      </c>
      <c r="F26" s="30">
        <f>AVERAGE(F2:F23)</f>
        <v>9.5</v>
      </c>
      <c r="G26" s="17" t="s">
        <v>32</v>
      </c>
      <c r="H26" s="18">
        <f>SUM(B25*1,C25*2,D25*3,E25*4,F25*5)/H25</f>
        <v>3.8159722222222223</v>
      </c>
    </row>
    <row r="27" spans="1:9" ht="15" thickBot="1">
      <c r="G27" s="31" t="s">
        <v>33</v>
      </c>
      <c r="H27" s="32">
        <f>'SEMANA 31'!H26</f>
        <v>3.6535087719298245</v>
      </c>
      <c r="I27" s="33" t="str">
        <f>_xlfn.CONCAT("", (H26-H27)/H27, "%")</f>
        <v>0,044467787114846%</v>
      </c>
    </row>
  </sheetData>
  <mergeCells count="7">
    <mergeCell ref="G24:H24"/>
    <mergeCell ref="H2:H5"/>
    <mergeCell ref="H6:H9"/>
    <mergeCell ref="H10:H13"/>
    <mergeCell ref="H14:H17"/>
    <mergeCell ref="H18:H21"/>
    <mergeCell ref="H22:H23"/>
  </mergeCells>
  <pageMargins left="0.511811024" right="0.511811024" top="0.78740157499999996" bottom="0.78740157499999996" header="0.31496062000000002" footer="0.31496062000000002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F1005-80BF-4A32-8A17-C402BD8461D7}">
  <dimension ref="A1:I27"/>
  <sheetViews>
    <sheetView topLeftCell="D1" zoomScaleNormal="100" workbookViewId="0">
      <selection activeCell="H28" sqref="H28"/>
    </sheetView>
  </sheetViews>
  <sheetFormatPr defaultRowHeight="14.45"/>
  <cols>
    <col min="1" max="1" width="24.42578125" customWidth="1"/>
    <col min="2" max="2" width="4.140625" bestFit="1" customWidth="1"/>
    <col min="3" max="3" width="7" bestFit="1" customWidth="1"/>
    <col min="4" max="4" width="9.85546875" bestFit="1" customWidth="1"/>
    <col min="5" max="5" width="12.7109375" bestFit="1" customWidth="1"/>
    <col min="6" max="6" width="15.7109375" bestFit="1" customWidth="1"/>
    <col min="7" max="7" width="33.7109375" customWidth="1"/>
    <col min="8" max="8" width="26.85546875" bestFit="1" customWidth="1"/>
    <col min="9" max="9" width="27.7109375" customWidth="1"/>
  </cols>
  <sheetData>
    <row r="1" spans="1:8" ht="15" thickBot="1">
      <c r="B1" s="4" t="s">
        <v>0</v>
      </c>
      <c r="C1" s="5" t="s">
        <v>1</v>
      </c>
      <c r="D1" s="6" t="s">
        <v>2</v>
      </c>
      <c r="E1" s="7" t="s">
        <v>3</v>
      </c>
      <c r="F1" s="8" t="s">
        <v>4</v>
      </c>
      <c r="G1" s="2" t="s">
        <v>5</v>
      </c>
      <c r="H1" s="3" t="s">
        <v>6</v>
      </c>
    </row>
    <row r="2" spans="1:8">
      <c r="A2" s="39" t="s">
        <v>7</v>
      </c>
      <c r="B2" s="40">
        <v>0</v>
      </c>
      <c r="C2" s="40">
        <v>4</v>
      </c>
      <c r="D2" s="40">
        <v>6</v>
      </c>
      <c r="E2" s="40">
        <v>7</v>
      </c>
      <c r="F2" s="40">
        <v>10</v>
      </c>
      <c r="G2" s="41">
        <f>SUM(B2:F2)</f>
        <v>27</v>
      </c>
      <c r="H2" s="78">
        <f>SUM(G2:G5)</f>
        <v>97</v>
      </c>
    </row>
    <row r="3" spans="1:8">
      <c r="A3" s="42" t="s">
        <v>8</v>
      </c>
      <c r="B3" s="34">
        <v>1</v>
      </c>
      <c r="C3" s="34">
        <v>0</v>
      </c>
      <c r="D3" s="34">
        <v>3</v>
      </c>
      <c r="E3" s="34">
        <v>10</v>
      </c>
      <c r="F3" s="34">
        <v>11</v>
      </c>
      <c r="G3" s="35">
        <f>SUM(B3:F3)</f>
        <v>25</v>
      </c>
      <c r="H3" s="79"/>
    </row>
    <row r="4" spans="1:8">
      <c r="A4" s="42" t="s">
        <v>9</v>
      </c>
      <c r="B4" s="34">
        <v>1</v>
      </c>
      <c r="C4" s="34">
        <v>0</v>
      </c>
      <c r="D4" s="34">
        <v>4</v>
      </c>
      <c r="E4" s="34">
        <v>11</v>
      </c>
      <c r="F4" s="34">
        <v>7</v>
      </c>
      <c r="G4" s="35">
        <f t="shared" ref="G4:G23" si="0">SUM(B4:F4)</f>
        <v>23</v>
      </c>
      <c r="H4" s="79"/>
    </row>
    <row r="5" spans="1:8" ht="15" thickBot="1">
      <c r="A5" s="43" t="s">
        <v>10</v>
      </c>
      <c r="B5" s="44">
        <v>0</v>
      </c>
      <c r="C5" s="44">
        <v>0</v>
      </c>
      <c r="D5" s="44">
        <v>2</v>
      </c>
      <c r="E5" s="44">
        <v>10</v>
      </c>
      <c r="F5" s="44">
        <v>10</v>
      </c>
      <c r="G5" s="45">
        <f t="shared" si="0"/>
        <v>22</v>
      </c>
      <c r="H5" s="80"/>
    </row>
    <row r="6" spans="1:8">
      <c r="A6" s="46" t="s">
        <v>11</v>
      </c>
      <c r="B6" s="47">
        <v>1</v>
      </c>
      <c r="C6" s="47">
        <v>0</v>
      </c>
      <c r="D6" s="47">
        <v>4</v>
      </c>
      <c r="E6" s="47">
        <v>3</v>
      </c>
      <c r="F6" s="47">
        <v>8</v>
      </c>
      <c r="G6" s="48">
        <f t="shared" si="0"/>
        <v>16</v>
      </c>
      <c r="H6" s="69">
        <f>SUM(G6:G9)</f>
        <v>99</v>
      </c>
    </row>
    <row r="7" spans="1:8">
      <c r="A7" s="49" t="s">
        <v>12</v>
      </c>
      <c r="B7" s="36">
        <v>0</v>
      </c>
      <c r="C7" s="36">
        <v>1</v>
      </c>
      <c r="D7" s="36">
        <v>3</v>
      </c>
      <c r="E7" s="36">
        <v>15</v>
      </c>
      <c r="F7" s="36">
        <v>7</v>
      </c>
      <c r="G7" s="37">
        <f t="shared" si="0"/>
        <v>26</v>
      </c>
      <c r="H7" s="70"/>
    </row>
    <row r="8" spans="1:8">
      <c r="A8" s="49" t="s">
        <v>13</v>
      </c>
      <c r="B8" s="36">
        <v>1</v>
      </c>
      <c r="C8" s="36">
        <v>0</v>
      </c>
      <c r="D8" s="36">
        <v>1</v>
      </c>
      <c r="E8" s="36">
        <v>10</v>
      </c>
      <c r="F8" s="36">
        <v>16</v>
      </c>
      <c r="G8" s="37">
        <f t="shared" si="0"/>
        <v>28</v>
      </c>
      <c r="H8" s="70"/>
    </row>
    <row r="9" spans="1:8" ht="15" thickBot="1">
      <c r="A9" s="50" t="s">
        <v>14</v>
      </c>
      <c r="B9" s="51">
        <v>1</v>
      </c>
      <c r="C9" s="51">
        <v>0</v>
      </c>
      <c r="D9" s="51">
        <v>1</v>
      </c>
      <c r="E9" s="51">
        <v>8</v>
      </c>
      <c r="F9" s="51">
        <v>19</v>
      </c>
      <c r="G9" s="52">
        <f t="shared" si="0"/>
        <v>29</v>
      </c>
      <c r="H9" s="71"/>
    </row>
    <row r="10" spans="1:8">
      <c r="A10" s="53" t="s">
        <v>15</v>
      </c>
      <c r="B10" s="54">
        <v>1</v>
      </c>
      <c r="C10" s="54">
        <v>3</v>
      </c>
      <c r="D10" s="54">
        <v>3</v>
      </c>
      <c r="E10" s="54">
        <v>4</v>
      </c>
      <c r="F10" s="54">
        <v>10</v>
      </c>
      <c r="G10" s="41">
        <f t="shared" si="0"/>
        <v>21</v>
      </c>
      <c r="H10" s="72">
        <f>SUM(G10:G13)</f>
        <v>80</v>
      </c>
    </row>
    <row r="11" spans="1:8">
      <c r="A11" s="55" t="s">
        <v>16</v>
      </c>
      <c r="B11" s="38">
        <v>1</v>
      </c>
      <c r="C11" s="38">
        <v>1</v>
      </c>
      <c r="D11" s="38">
        <v>1</v>
      </c>
      <c r="E11" s="38">
        <v>5</v>
      </c>
      <c r="F11" s="38">
        <v>14</v>
      </c>
      <c r="G11" s="35">
        <f t="shared" si="0"/>
        <v>22</v>
      </c>
      <c r="H11" s="73"/>
    </row>
    <row r="12" spans="1:8">
      <c r="A12" s="55" t="s">
        <v>17</v>
      </c>
      <c r="B12" s="38">
        <v>0</v>
      </c>
      <c r="C12" s="38">
        <v>1</v>
      </c>
      <c r="D12" s="38">
        <v>9</v>
      </c>
      <c r="E12" s="38">
        <v>11</v>
      </c>
      <c r="F12" s="38">
        <v>1</v>
      </c>
      <c r="G12" s="35">
        <f t="shared" si="0"/>
        <v>22</v>
      </c>
      <c r="H12" s="73"/>
    </row>
    <row r="13" spans="1:8" ht="15" thickBot="1">
      <c r="A13" s="56" t="s">
        <v>18</v>
      </c>
      <c r="B13" s="57">
        <v>1</v>
      </c>
      <c r="C13" s="57">
        <v>0</v>
      </c>
      <c r="D13" s="57">
        <v>4</v>
      </c>
      <c r="E13" s="57">
        <v>2</v>
      </c>
      <c r="F13" s="57">
        <v>8</v>
      </c>
      <c r="G13" s="45">
        <f t="shared" si="0"/>
        <v>15</v>
      </c>
      <c r="H13" s="74"/>
    </row>
    <row r="14" spans="1:8">
      <c r="A14" s="46" t="s">
        <v>19</v>
      </c>
      <c r="B14" s="47"/>
      <c r="C14" s="47"/>
      <c r="D14" s="47"/>
      <c r="E14" s="47"/>
      <c r="F14" s="47"/>
      <c r="G14" s="48">
        <f t="shared" si="0"/>
        <v>0</v>
      </c>
      <c r="H14" s="69">
        <f>SUM(G14:G17)</f>
        <v>0</v>
      </c>
    </row>
    <row r="15" spans="1:8">
      <c r="A15" s="49" t="s">
        <v>20</v>
      </c>
      <c r="B15" s="36"/>
      <c r="C15" s="36"/>
      <c r="D15" s="36"/>
      <c r="E15" s="36"/>
      <c r="F15" s="36"/>
      <c r="G15" s="37">
        <f t="shared" si="0"/>
        <v>0</v>
      </c>
      <c r="H15" s="70"/>
    </row>
    <row r="16" spans="1:8">
      <c r="A16" s="49" t="s">
        <v>21</v>
      </c>
      <c r="B16" s="36"/>
      <c r="C16" s="36"/>
      <c r="D16" s="36"/>
      <c r="E16" s="36"/>
      <c r="F16" s="36"/>
      <c r="G16" s="37">
        <f t="shared" si="0"/>
        <v>0</v>
      </c>
      <c r="H16" s="70"/>
    </row>
    <row r="17" spans="1:9" ht="15" thickBot="1">
      <c r="A17" s="50" t="s">
        <v>22</v>
      </c>
      <c r="B17" s="51"/>
      <c r="C17" s="51"/>
      <c r="D17" s="51"/>
      <c r="E17" s="51"/>
      <c r="F17" s="51"/>
      <c r="G17" s="52">
        <f t="shared" si="0"/>
        <v>0</v>
      </c>
      <c r="H17" s="71"/>
    </row>
    <row r="18" spans="1:9">
      <c r="A18" s="53" t="s">
        <v>23</v>
      </c>
      <c r="B18" s="54">
        <v>3</v>
      </c>
      <c r="C18" s="54">
        <v>0</v>
      </c>
      <c r="D18" s="54">
        <v>4</v>
      </c>
      <c r="E18" s="54">
        <v>7</v>
      </c>
      <c r="F18" s="54">
        <v>13</v>
      </c>
      <c r="G18" s="41">
        <f t="shared" si="0"/>
        <v>27</v>
      </c>
      <c r="H18" s="72">
        <f>SUM(G18:G21)</f>
        <v>81</v>
      </c>
    </row>
    <row r="19" spans="1:9">
      <c r="A19" s="55" t="s">
        <v>24</v>
      </c>
      <c r="B19" s="38">
        <v>2</v>
      </c>
      <c r="C19" s="38">
        <v>0</v>
      </c>
      <c r="D19" s="38">
        <v>0</v>
      </c>
      <c r="E19" s="38">
        <v>3</v>
      </c>
      <c r="F19" s="38">
        <v>15</v>
      </c>
      <c r="G19" s="35">
        <f t="shared" si="0"/>
        <v>20</v>
      </c>
      <c r="H19" s="73"/>
    </row>
    <row r="20" spans="1:9">
      <c r="A20" s="55" t="s">
        <v>25</v>
      </c>
      <c r="B20" s="38">
        <v>0</v>
      </c>
      <c r="C20" s="38">
        <v>0</v>
      </c>
      <c r="D20" s="38">
        <v>2</v>
      </c>
      <c r="E20" s="38">
        <v>0</v>
      </c>
      <c r="F20" s="38">
        <v>8</v>
      </c>
      <c r="G20" s="35">
        <f t="shared" si="0"/>
        <v>10</v>
      </c>
      <c r="H20" s="73"/>
    </row>
    <row r="21" spans="1:9" ht="15" thickBot="1">
      <c r="A21" s="56" t="s">
        <v>26</v>
      </c>
      <c r="B21" s="57">
        <v>0</v>
      </c>
      <c r="C21" s="57">
        <v>0</v>
      </c>
      <c r="D21" s="57">
        <v>1</v>
      </c>
      <c r="E21" s="57">
        <v>0</v>
      </c>
      <c r="F21" s="57">
        <v>23</v>
      </c>
      <c r="G21" s="45">
        <f t="shared" si="0"/>
        <v>24</v>
      </c>
      <c r="H21" s="74"/>
    </row>
    <row r="22" spans="1:9">
      <c r="A22" s="58" t="s">
        <v>27</v>
      </c>
      <c r="B22" s="47">
        <v>3</v>
      </c>
      <c r="C22" s="47">
        <v>0</v>
      </c>
      <c r="D22" s="47">
        <v>9</v>
      </c>
      <c r="E22" s="47">
        <v>3</v>
      </c>
      <c r="F22" s="47">
        <v>3</v>
      </c>
      <c r="G22" s="48">
        <f t="shared" si="0"/>
        <v>18</v>
      </c>
      <c r="H22" s="75">
        <f>SUM(G22:G24)</f>
        <v>25</v>
      </c>
    </row>
    <row r="23" spans="1:9" ht="15" thickBot="1">
      <c r="A23" s="59" t="s">
        <v>28</v>
      </c>
      <c r="B23" s="51">
        <v>3</v>
      </c>
      <c r="C23" s="51">
        <v>1</v>
      </c>
      <c r="D23" s="51">
        <v>3</v>
      </c>
      <c r="E23" s="51">
        <v>0</v>
      </c>
      <c r="F23" s="51">
        <v>0</v>
      </c>
      <c r="G23" s="52">
        <f t="shared" si="0"/>
        <v>7</v>
      </c>
      <c r="H23" s="76"/>
    </row>
    <row r="24" spans="1:9" ht="15" thickBot="1">
      <c r="A24" s="15"/>
      <c r="B24" s="1"/>
      <c r="C24" s="1"/>
      <c r="D24" s="1"/>
      <c r="E24" s="1"/>
      <c r="F24" s="1"/>
      <c r="G24" s="77"/>
      <c r="H24" s="77"/>
    </row>
    <row r="25" spans="1:9" ht="15" thickBot="1">
      <c r="A25" s="26" t="s">
        <v>29</v>
      </c>
      <c r="B25" s="21">
        <f>SUM(B2:B23)</f>
        <v>19</v>
      </c>
      <c r="C25" s="22">
        <f>SUM(C2:C23)</f>
        <v>11</v>
      </c>
      <c r="D25" s="22">
        <f>SUM(D2:D23)</f>
        <v>60</v>
      </c>
      <c r="E25" s="23">
        <f>SUM(E2:E23)</f>
        <v>109</v>
      </c>
      <c r="F25" s="24">
        <f>SUM(F2:F23)</f>
        <v>183</v>
      </c>
      <c r="G25" s="16" t="s">
        <v>30</v>
      </c>
      <c r="H25" s="19">
        <f>SUM(G2:G23)</f>
        <v>382</v>
      </c>
    </row>
    <row r="26" spans="1:9" ht="15" thickBot="1">
      <c r="A26" s="25" t="s">
        <v>31</v>
      </c>
      <c r="B26" s="27">
        <f>AVERAGE(B2:B23)</f>
        <v>1.0555555555555556</v>
      </c>
      <c r="C26" s="28">
        <f>AVERAGE(C2:C23)</f>
        <v>0.61111111111111116</v>
      </c>
      <c r="D26" s="28">
        <f>AVERAGE(D2:D23)</f>
        <v>3.3333333333333335</v>
      </c>
      <c r="E26" s="29">
        <f>AVERAGE(E2:E23)</f>
        <v>6.0555555555555554</v>
      </c>
      <c r="F26" s="30">
        <f>AVERAGE(F2:F23)</f>
        <v>10.166666666666666</v>
      </c>
      <c r="G26" s="17" t="s">
        <v>32</v>
      </c>
      <c r="H26" s="18">
        <f>SUM(B25*1,C25*2,D25*3,E25*4,F25*5)/H25</f>
        <v>4.1151832460732987</v>
      </c>
    </row>
    <row r="27" spans="1:9" ht="15" thickBot="1">
      <c r="G27" s="31" t="s">
        <v>33</v>
      </c>
      <c r="H27" s="32">
        <f>'SEMANA 32'!H26</f>
        <v>3.8159722222222223</v>
      </c>
      <c r="I27" s="33" t="str">
        <f>_xlfn.CONCAT("", (H26-H27)/H27, "%")</f>
        <v>0,0784101682157507%</v>
      </c>
    </row>
  </sheetData>
  <mergeCells count="7">
    <mergeCell ref="G24:H24"/>
    <mergeCell ref="H2:H5"/>
    <mergeCell ref="H6:H9"/>
    <mergeCell ref="H10:H13"/>
    <mergeCell ref="H14:H17"/>
    <mergeCell ref="H18:H21"/>
    <mergeCell ref="H22:H23"/>
  </mergeCells>
  <pageMargins left="0.511811024" right="0.511811024" top="0.78740157499999996" bottom="0.78740157499999996" header="0.31496062000000002" footer="0.31496062000000002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D9230-626D-4BE4-9BEA-9D328125184E}">
  <dimension ref="A1:I27"/>
  <sheetViews>
    <sheetView topLeftCell="D1" zoomScaleNormal="100" workbookViewId="0">
      <selection activeCell="B3" sqref="B3:F3 B5:F5 B7:F7 B9:F9 B11:F11 B13:F13 B15:F15 B17:F17 B19:F19 B21:F21 B23:F23"/>
    </sheetView>
  </sheetViews>
  <sheetFormatPr defaultRowHeight="14.45"/>
  <cols>
    <col min="1" max="1" width="24.42578125" customWidth="1"/>
    <col min="2" max="2" width="4.140625" bestFit="1" customWidth="1"/>
    <col min="3" max="3" width="7" bestFit="1" customWidth="1"/>
    <col min="4" max="4" width="9.85546875" bestFit="1" customWidth="1"/>
    <col min="5" max="5" width="12.7109375" bestFit="1" customWidth="1"/>
    <col min="6" max="6" width="15.7109375" bestFit="1" customWidth="1"/>
    <col min="7" max="7" width="33.7109375" customWidth="1"/>
    <col min="8" max="8" width="26.85546875" bestFit="1" customWidth="1"/>
    <col min="9" max="9" width="27.7109375" customWidth="1"/>
  </cols>
  <sheetData>
    <row r="1" spans="1:8" ht="15" thickBot="1">
      <c r="B1" s="4" t="s">
        <v>0</v>
      </c>
      <c r="C1" s="5" t="s">
        <v>1</v>
      </c>
      <c r="D1" s="6" t="s">
        <v>2</v>
      </c>
      <c r="E1" s="7" t="s">
        <v>3</v>
      </c>
      <c r="F1" s="8" t="s">
        <v>4</v>
      </c>
      <c r="G1" s="2" t="s">
        <v>5</v>
      </c>
      <c r="H1" s="3" t="s">
        <v>6</v>
      </c>
    </row>
    <row r="2" spans="1:8">
      <c r="A2" s="39" t="s">
        <v>7</v>
      </c>
      <c r="B2" s="40">
        <v>2</v>
      </c>
      <c r="C2" s="40">
        <v>2</v>
      </c>
      <c r="D2" s="40">
        <v>18</v>
      </c>
      <c r="E2" s="40">
        <v>8</v>
      </c>
      <c r="F2" s="40">
        <v>3</v>
      </c>
      <c r="G2" s="41">
        <f>SUM(B2:F2)</f>
        <v>33</v>
      </c>
      <c r="H2" s="78">
        <f>SUM(G2:G5)</f>
        <v>166</v>
      </c>
    </row>
    <row r="3" spans="1:8">
      <c r="A3" s="42" t="s">
        <v>8</v>
      </c>
      <c r="B3" s="34">
        <v>1</v>
      </c>
      <c r="C3" s="34">
        <v>4</v>
      </c>
      <c r="D3" s="34">
        <v>25</v>
      </c>
      <c r="E3" s="34">
        <v>11</v>
      </c>
      <c r="F3" s="34">
        <v>13</v>
      </c>
      <c r="G3" s="35">
        <f>SUM(B3:F3)</f>
        <v>54</v>
      </c>
      <c r="H3" s="79"/>
    </row>
    <row r="4" spans="1:8">
      <c r="A4" s="42" t="s">
        <v>9</v>
      </c>
      <c r="B4" s="34">
        <v>0</v>
      </c>
      <c r="C4" s="34">
        <v>0</v>
      </c>
      <c r="D4" s="34">
        <v>1</v>
      </c>
      <c r="E4" s="34">
        <v>3</v>
      </c>
      <c r="F4" s="34">
        <v>29</v>
      </c>
      <c r="G4" s="35">
        <f t="shared" ref="G4:G23" si="0">SUM(B4:F4)</f>
        <v>33</v>
      </c>
      <c r="H4" s="79"/>
    </row>
    <row r="5" spans="1:8" ht="15" thickBot="1">
      <c r="A5" s="43" t="s">
        <v>10</v>
      </c>
      <c r="B5" s="44">
        <v>2</v>
      </c>
      <c r="C5" s="44">
        <v>0</v>
      </c>
      <c r="D5" s="44">
        <v>4</v>
      </c>
      <c r="E5" s="44">
        <v>15</v>
      </c>
      <c r="F5" s="44">
        <v>25</v>
      </c>
      <c r="G5" s="45">
        <f t="shared" si="0"/>
        <v>46</v>
      </c>
      <c r="H5" s="80"/>
    </row>
    <row r="6" spans="1:8">
      <c r="A6" s="46" t="s">
        <v>11</v>
      </c>
      <c r="B6" s="47">
        <v>2</v>
      </c>
      <c r="C6" s="47">
        <v>0</v>
      </c>
      <c r="D6" s="47">
        <v>1</v>
      </c>
      <c r="E6" s="47">
        <v>6</v>
      </c>
      <c r="F6" s="47">
        <v>24</v>
      </c>
      <c r="G6" s="48">
        <f t="shared" si="0"/>
        <v>33</v>
      </c>
      <c r="H6" s="69">
        <f>SUM(G6:G9)</f>
        <v>113</v>
      </c>
    </row>
    <row r="7" spans="1:8">
      <c r="A7" s="49" t="s">
        <v>12</v>
      </c>
      <c r="B7" s="36">
        <v>7</v>
      </c>
      <c r="C7" s="36">
        <v>5</v>
      </c>
      <c r="D7" s="36">
        <v>9</v>
      </c>
      <c r="E7" s="36">
        <v>11</v>
      </c>
      <c r="F7" s="36">
        <v>19</v>
      </c>
      <c r="G7" s="37">
        <f t="shared" si="0"/>
        <v>51</v>
      </c>
      <c r="H7" s="70"/>
    </row>
    <row r="8" spans="1:8">
      <c r="A8" s="49" t="s">
        <v>13</v>
      </c>
      <c r="B8" s="36">
        <v>2</v>
      </c>
      <c r="C8" s="36">
        <v>0</v>
      </c>
      <c r="D8" s="36">
        <v>5</v>
      </c>
      <c r="E8" s="36">
        <v>3</v>
      </c>
      <c r="F8" s="36">
        <v>11</v>
      </c>
      <c r="G8" s="37">
        <f t="shared" si="0"/>
        <v>21</v>
      </c>
      <c r="H8" s="70"/>
    </row>
    <row r="9" spans="1:8" ht="15" thickBot="1">
      <c r="A9" s="50" t="s">
        <v>14</v>
      </c>
      <c r="B9" s="51">
        <v>0</v>
      </c>
      <c r="C9" s="51">
        <v>3</v>
      </c>
      <c r="D9" s="51">
        <v>2</v>
      </c>
      <c r="E9" s="51">
        <v>0</v>
      </c>
      <c r="F9" s="51">
        <v>3</v>
      </c>
      <c r="G9" s="52">
        <f t="shared" si="0"/>
        <v>8</v>
      </c>
      <c r="H9" s="71"/>
    </row>
    <row r="10" spans="1:8">
      <c r="A10" s="53" t="s">
        <v>15</v>
      </c>
      <c r="B10" s="54">
        <v>1</v>
      </c>
      <c r="C10" s="54">
        <v>0</v>
      </c>
      <c r="D10" s="54">
        <v>5</v>
      </c>
      <c r="E10" s="54">
        <v>11</v>
      </c>
      <c r="F10" s="54">
        <v>8</v>
      </c>
      <c r="G10" s="41">
        <f t="shared" si="0"/>
        <v>25</v>
      </c>
      <c r="H10" s="72">
        <f>SUM(G10:G13)</f>
        <v>156</v>
      </c>
    </row>
    <row r="11" spans="1:8">
      <c r="A11" s="55" t="s">
        <v>16</v>
      </c>
      <c r="B11" s="38">
        <v>1</v>
      </c>
      <c r="C11" s="38">
        <v>2</v>
      </c>
      <c r="D11" s="38">
        <v>0</v>
      </c>
      <c r="E11" s="38">
        <v>23</v>
      </c>
      <c r="F11" s="38">
        <v>43</v>
      </c>
      <c r="G11" s="35">
        <f t="shared" si="0"/>
        <v>69</v>
      </c>
      <c r="H11" s="73"/>
    </row>
    <row r="12" spans="1:8">
      <c r="A12" s="55" t="s">
        <v>17</v>
      </c>
      <c r="B12" s="38">
        <v>1</v>
      </c>
      <c r="C12" s="38">
        <v>3</v>
      </c>
      <c r="D12" s="38">
        <v>4</v>
      </c>
      <c r="E12" s="38">
        <v>7</v>
      </c>
      <c r="F12" s="38">
        <v>10</v>
      </c>
      <c r="G12" s="35">
        <f t="shared" si="0"/>
        <v>25</v>
      </c>
      <c r="H12" s="73"/>
    </row>
    <row r="13" spans="1:8" ht="15" thickBot="1">
      <c r="A13" s="56" t="s">
        <v>18</v>
      </c>
      <c r="B13" s="57">
        <v>1</v>
      </c>
      <c r="C13" s="57">
        <v>2</v>
      </c>
      <c r="D13" s="57">
        <v>1</v>
      </c>
      <c r="E13" s="57">
        <v>15</v>
      </c>
      <c r="F13" s="57">
        <v>18</v>
      </c>
      <c r="G13" s="45">
        <f t="shared" si="0"/>
        <v>37</v>
      </c>
      <c r="H13" s="74"/>
    </row>
    <row r="14" spans="1:8">
      <c r="A14" s="46" t="s">
        <v>19</v>
      </c>
      <c r="B14" s="47">
        <v>0</v>
      </c>
      <c r="C14" s="47">
        <v>3</v>
      </c>
      <c r="D14" s="47">
        <v>6</v>
      </c>
      <c r="E14" s="47">
        <v>12</v>
      </c>
      <c r="F14" s="47">
        <v>7</v>
      </c>
      <c r="G14" s="48">
        <f t="shared" si="0"/>
        <v>28</v>
      </c>
      <c r="H14" s="69">
        <f>SUM(G14:G17)</f>
        <v>134</v>
      </c>
    </row>
    <row r="15" spans="1:8">
      <c r="A15" s="49" t="s">
        <v>20</v>
      </c>
      <c r="B15" s="36">
        <v>0</v>
      </c>
      <c r="C15" s="36">
        <v>5</v>
      </c>
      <c r="D15" s="36">
        <v>9</v>
      </c>
      <c r="E15" s="36">
        <v>22</v>
      </c>
      <c r="F15" s="36">
        <v>21</v>
      </c>
      <c r="G15" s="37">
        <f t="shared" si="0"/>
        <v>57</v>
      </c>
      <c r="H15" s="70"/>
    </row>
    <row r="16" spans="1:8">
      <c r="A16" s="49" t="s">
        <v>21</v>
      </c>
      <c r="B16" s="36">
        <v>2</v>
      </c>
      <c r="C16" s="36">
        <v>0</v>
      </c>
      <c r="D16" s="36">
        <v>1</v>
      </c>
      <c r="E16" s="36">
        <v>4</v>
      </c>
      <c r="F16" s="36">
        <v>18</v>
      </c>
      <c r="G16" s="37">
        <f t="shared" si="0"/>
        <v>25</v>
      </c>
      <c r="H16" s="70"/>
    </row>
    <row r="17" spans="1:9" ht="15" thickBot="1">
      <c r="A17" s="50" t="s">
        <v>22</v>
      </c>
      <c r="B17" s="51">
        <v>0</v>
      </c>
      <c r="C17" s="51">
        <v>1</v>
      </c>
      <c r="D17" s="51">
        <v>1</v>
      </c>
      <c r="E17" s="51">
        <v>6</v>
      </c>
      <c r="F17" s="51">
        <v>16</v>
      </c>
      <c r="G17" s="52">
        <f t="shared" si="0"/>
        <v>24</v>
      </c>
      <c r="H17" s="71"/>
    </row>
    <row r="18" spans="1:9">
      <c r="A18" s="53" t="s">
        <v>23</v>
      </c>
      <c r="B18" s="54">
        <v>0</v>
      </c>
      <c r="C18" s="54">
        <v>5</v>
      </c>
      <c r="D18" s="54">
        <v>10</v>
      </c>
      <c r="E18" s="54">
        <v>6</v>
      </c>
      <c r="F18" s="54">
        <v>3</v>
      </c>
      <c r="G18" s="41">
        <f t="shared" si="0"/>
        <v>24</v>
      </c>
      <c r="H18" s="72">
        <f>SUM(G18:G21)</f>
        <v>131</v>
      </c>
    </row>
    <row r="19" spans="1:9">
      <c r="A19" s="55" t="s">
        <v>24</v>
      </c>
      <c r="B19" s="38">
        <v>4</v>
      </c>
      <c r="C19" s="38">
        <v>0</v>
      </c>
      <c r="D19" s="38">
        <v>8</v>
      </c>
      <c r="E19" s="38">
        <v>9</v>
      </c>
      <c r="F19" s="38">
        <v>16</v>
      </c>
      <c r="G19" s="35">
        <f t="shared" si="0"/>
        <v>37</v>
      </c>
      <c r="H19" s="73"/>
    </row>
    <row r="20" spans="1:9">
      <c r="A20" s="55" t="s">
        <v>25</v>
      </c>
      <c r="B20" s="38">
        <v>0</v>
      </c>
      <c r="C20" s="38">
        <v>1</v>
      </c>
      <c r="D20" s="38">
        <v>0</v>
      </c>
      <c r="E20" s="38">
        <v>12</v>
      </c>
      <c r="F20" s="38">
        <v>23</v>
      </c>
      <c r="G20" s="35">
        <f t="shared" si="0"/>
        <v>36</v>
      </c>
      <c r="H20" s="73"/>
    </row>
    <row r="21" spans="1:9" ht="15" thickBot="1">
      <c r="A21" s="56" t="s">
        <v>26</v>
      </c>
      <c r="B21" s="57">
        <v>0</v>
      </c>
      <c r="C21" s="57">
        <v>3</v>
      </c>
      <c r="D21" s="57">
        <v>7</v>
      </c>
      <c r="E21" s="57">
        <v>7</v>
      </c>
      <c r="F21" s="57">
        <v>17</v>
      </c>
      <c r="G21" s="45">
        <f t="shared" si="0"/>
        <v>34</v>
      </c>
      <c r="H21" s="74"/>
    </row>
    <row r="22" spans="1:9">
      <c r="A22" s="58" t="s">
        <v>27</v>
      </c>
      <c r="B22" s="47">
        <v>0</v>
      </c>
      <c r="C22" s="47">
        <v>1</v>
      </c>
      <c r="D22" s="47">
        <v>0</v>
      </c>
      <c r="E22" s="47">
        <v>0</v>
      </c>
      <c r="F22" s="47">
        <v>6</v>
      </c>
      <c r="G22" s="48">
        <f t="shared" si="0"/>
        <v>7</v>
      </c>
      <c r="H22" s="75">
        <f>SUM(G22:G24)</f>
        <v>19</v>
      </c>
    </row>
    <row r="23" spans="1:9" ht="15" thickBot="1">
      <c r="A23" s="59" t="s">
        <v>28</v>
      </c>
      <c r="B23" s="51">
        <v>0</v>
      </c>
      <c r="C23" s="51">
        <v>0</v>
      </c>
      <c r="D23" s="51">
        <v>0</v>
      </c>
      <c r="E23" s="51">
        <v>0</v>
      </c>
      <c r="F23" s="51">
        <v>12</v>
      </c>
      <c r="G23" s="52">
        <f t="shared" si="0"/>
        <v>12</v>
      </c>
      <c r="H23" s="76"/>
    </row>
    <row r="24" spans="1:9" ht="15" thickBot="1">
      <c r="A24" s="15"/>
      <c r="B24" s="1"/>
      <c r="C24" s="1"/>
      <c r="D24" s="1"/>
      <c r="E24" s="1"/>
      <c r="F24" s="1"/>
      <c r="G24" s="77"/>
      <c r="H24" s="77"/>
    </row>
    <row r="25" spans="1:9" ht="15" thickBot="1">
      <c r="A25" s="26" t="s">
        <v>29</v>
      </c>
      <c r="B25" s="21">
        <f>SUM(B2:B23)</f>
        <v>26</v>
      </c>
      <c r="C25" s="22">
        <f>SUM(C2:C23)</f>
        <v>40</v>
      </c>
      <c r="D25" s="22">
        <f>SUM(D2:D23)</f>
        <v>117</v>
      </c>
      <c r="E25" s="23">
        <f>SUM(E2:E23)</f>
        <v>191</v>
      </c>
      <c r="F25" s="24">
        <f>SUM(F2:F23)</f>
        <v>345</v>
      </c>
      <c r="G25" s="16" t="s">
        <v>30</v>
      </c>
      <c r="H25" s="19">
        <f>SUM(G2:G23)</f>
        <v>719</v>
      </c>
    </row>
    <row r="26" spans="1:9" ht="15" thickBot="1">
      <c r="A26" s="25" t="s">
        <v>31</v>
      </c>
      <c r="B26" s="27">
        <f>AVERAGE(B2:B23)</f>
        <v>1.1818181818181819</v>
      </c>
      <c r="C26" s="28">
        <f>AVERAGE(C2:C23)</f>
        <v>1.8181818181818181</v>
      </c>
      <c r="D26" s="28">
        <f>AVERAGE(D2:D23)</f>
        <v>5.3181818181818183</v>
      </c>
      <c r="E26" s="29">
        <f>AVERAGE(E2:E23)</f>
        <v>8.6818181818181817</v>
      </c>
      <c r="F26" s="30">
        <f>AVERAGE(F2:F23)</f>
        <v>15.681818181818182</v>
      </c>
      <c r="G26" s="17" t="s">
        <v>32</v>
      </c>
      <c r="H26" s="18">
        <f>SUM(B25*1,C25*2,D25*3,E25*4,F25*5)/H25</f>
        <v>4.097357440890125</v>
      </c>
    </row>
    <row r="27" spans="1:9" ht="15" thickBot="1">
      <c r="G27" s="31" t="s">
        <v>33</v>
      </c>
      <c r="H27" s="32">
        <f>'SEMANA 33'!H26</f>
        <v>4.1151832460732987</v>
      </c>
      <c r="I27" s="33" t="str">
        <f>_xlfn.CONCAT("", (H26-H27)/H27, "%")</f>
        <v>-0,00433171601779411%</v>
      </c>
    </row>
  </sheetData>
  <mergeCells count="7">
    <mergeCell ref="G24:H24"/>
    <mergeCell ref="H2:H5"/>
    <mergeCell ref="H6:H9"/>
    <mergeCell ref="H10:H13"/>
    <mergeCell ref="H14:H17"/>
    <mergeCell ref="H18:H21"/>
    <mergeCell ref="H22:H23"/>
  </mergeCells>
  <pageMargins left="0.511811024" right="0.511811024" top="0.78740157499999996" bottom="0.78740157499999996" header="0.31496062000000002" footer="0.31496062000000002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845AC-D926-4537-81D0-375E6B594FDF}">
  <dimension ref="A1:I27"/>
  <sheetViews>
    <sheetView zoomScaleNormal="100" workbookViewId="0">
      <selection activeCell="I13" sqref="I13"/>
    </sheetView>
  </sheetViews>
  <sheetFormatPr defaultRowHeight="14.45"/>
  <cols>
    <col min="1" max="1" width="24.42578125" customWidth="1"/>
    <col min="2" max="2" width="4.140625" bestFit="1" customWidth="1"/>
    <col min="3" max="3" width="7" bestFit="1" customWidth="1"/>
    <col min="4" max="4" width="9.85546875" bestFit="1" customWidth="1"/>
    <col min="5" max="5" width="12.7109375" bestFit="1" customWidth="1"/>
    <col min="6" max="6" width="15.7109375" bestFit="1" customWidth="1"/>
    <col min="7" max="7" width="33.7109375" customWidth="1"/>
    <col min="8" max="8" width="26.85546875" bestFit="1" customWidth="1"/>
    <col min="9" max="9" width="27.7109375" customWidth="1"/>
  </cols>
  <sheetData>
    <row r="1" spans="1:8" ht="15" thickBot="1">
      <c r="B1" s="4" t="s">
        <v>0</v>
      </c>
      <c r="C1" s="5" t="s">
        <v>1</v>
      </c>
      <c r="D1" s="6" t="s">
        <v>2</v>
      </c>
      <c r="E1" s="7" t="s">
        <v>3</v>
      </c>
      <c r="F1" s="8" t="s">
        <v>4</v>
      </c>
      <c r="G1" s="2" t="s">
        <v>5</v>
      </c>
      <c r="H1" s="3" t="s">
        <v>6</v>
      </c>
    </row>
    <row r="2" spans="1:8">
      <c r="A2" s="39" t="s">
        <v>7</v>
      </c>
      <c r="B2" s="40">
        <v>3</v>
      </c>
      <c r="C2" s="40">
        <v>4</v>
      </c>
      <c r="D2" s="40">
        <v>4</v>
      </c>
      <c r="E2" s="40">
        <v>15</v>
      </c>
      <c r="F2" s="40">
        <v>7</v>
      </c>
      <c r="G2" s="41">
        <f>SUM(B2:F2)</f>
        <v>33</v>
      </c>
      <c r="H2" s="78">
        <f>SUM(G2:G5)</f>
        <v>145</v>
      </c>
    </row>
    <row r="3" spans="1:8">
      <c r="A3" s="42" t="s">
        <v>8</v>
      </c>
      <c r="B3" s="34">
        <v>10</v>
      </c>
      <c r="C3" s="34">
        <v>7</v>
      </c>
      <c r="D3" s="34">
        <v>8</v>
      </c>
      <c r="E3" s="34">
        <v>10</v>
      </c>
      <c r="F3" s="34">
        <v>18</v>
      </c>
      <c r="G3" s="35">
        <f>SUM(B3:F3)</f>
        <v>53</v>
      </c>
      <c r="H3" s="79"/>
    </row>
    <row r="4" spans="1:8">
      <c r="A4" s="42" t="s">
        <v>9</v>
      </c>
      <c r="B4" s="34">
        <v>0</v>
      </c>
      <c r="C4" s="34">
        <v>2</v>
      </c>
      <c r="D4" s="34">
        <v>1</v>
      </c>
      <c r="E4" s="34">
        <v>7</v>
      </c>
      <c r="F4" s="34">
        <v>13</v>
      </c>
      <c r="G4" s="35">
        <f t="shared" ref="G4:G23" si="0">SUM(B4:F4)</f>
        <v>23</v>
      </c>
      <c r="H4" s="79"/>
    </row>
    <row r="5" spans="1:8" ht="15" thickBot="1">
      <c r="A5" s="43" t="s">
        <v>10</v>
      </c>
      <c r="B5" s="44">
        <v>1</v>
      </c>
      <c r="C5" s="44">
        <v>0</v>
      </c>
      <c r="D5" s="44">
        <v>2</v>
      </c>
      <c r="E5" s="44">
        <v>7</v>
      </c>
      <c r="F5" s="44">
        <v>26</v>
      </c>
      <c r="G5" s="45">
        <f t="shared" si="0"/>
        <v>36</v>
      </c>
      <c r="H5" s="80"/>
    </row>
    <row r="6" spans="1:8">
      <c r="A6" s="46" t="s">
        <v>11</v>
      </c>
      <c r="B6" s="47">
        <v>0</v>
      </c>
      <c r="C6" s="47">
        <v>1</v>
      </c>
      <c r="D6" s="47">
        <v>4</v>
      </c>
      <c r="E6" s="47">
        <v>21</v>
      </c>
      <c r="F6" s="47">
        <v>7</v>
      </c>
      <c r="G6" s="48">
        <f t="shared" si="0"/>
        <v>33</v>
      </c>
      <c r="H6" s="69">
        <f>SUM(G6:G9)</f>
        <v>146</v>
      </c>
    </row>
    <row r="7" spans="1:8">
      <c r="A7" s="49" t="s">
        <v>12</v>
      </c>
      <c r="B7" s="36">
        <v>5</v>
      </c>
      <c r="C7" s="36">
        <v>1</v>
      </c>
      <c r="D7" s="36">
        <v>9</v>
      </c>
      <c r="E7" s="36">
        <v>22</v>
      </c>
      <c r="F7" s="36">
        <v>12</v>
      </c>
      <c r="G7" s="37">
        <f t="shared" si="0"/>
        <v>49</v>
      </c>
      <c r="H7" s="70"/>
    </row>
    <row r="8" spans="1:8">
      <c r="A8" s="49" t="s">
        <v>13</v>
      </c>
      <c r="B8" s="36">
        <v>0</v>
      </c>
      <c r="C8" s="36">
        <v>0</v>
      </c>
      <c r="D8" s="36">
        <v>8</v>
      </c>
      <c r="E8" s="36">
        <v>5</v>
      </c>
      <c r="F8" s="36">
        <v>12</v>
      </c>
      <c r="G8" s="37">
        <f t="shared" si="0"/>
        <v>25</v>
      </c>
      <c r="H8" s="70"/>
    </row>
    <row r="9" spans="1:8" ht="15" thickBot="1">
      <c r="A9" s="50" t="s">
        <v>14</v>
      </c>
      <c r="B9" s="51">
        <v>3</v>
      </c>
      <c r="C9" s="51">
        <v>1</v>
      </c>
      <c r="D9" s="51">
        <v>15</v>
      </c>
      <c r="E9" s="51">
        <v>13</v>
      </c>
      <c r="F9" s="51">
        <v>7</v>
      </c>
      <c r="G9" s="52">
        <f t="shared" si="0"/>
        <v>39</v>
      </c>
      <c r="H9" s="71"/>
    </row>
    <row r="10" spans="1:8">
      <c r="A10" s="53" t="s">
        <v>15</v>
      </c>
      <c r="B10" s="54">
        <v>0</v>
      </c>
      <c r="C10" s="54">
        <v>0</v>
      </c>
      <c r="D10" s="54">
        <v>3</v>
      </c>
      <c r="E10" s="54">
        <v>13</v>
      </c>
      <c r="F10" s="54">
        <v>3</v>
      </c>
      <c r="G10" s="41">
        <f t="shared" si="0"/>
        <v>19</v>
      </c>
      <c r="H10" s="72">
        <f>SUM(G10:G13)</f>
        <v>161</v>
      </c>
    </row>
    <row r="11" spans="1:8">
      <c r="A11" s="55" t="s">
        <v>16</v>
      </c>
      <c r="B11" s="38">
        <v>8</v>
      </c>
      <c r="C11" s="38">
        <v>2</v>
      </c>
      <c r="D11" s="38">
        <v>10</v>
      </c>
      <c r="E11" s="38">
        <v>28</v>
      </c>
      <c r="F11" s="38">
        <v>14</v>
      </c>
      <c r="G11" s="35">
        <f t="shared" si="0"/>
        <v>62</v>
      </c>
      <c r="H11" s="73"/>
    </row>
    <row r="12" spans="1:8">
      <c r="A12" s="55" t="s">
        <v>17</v>
      </c>
      <c r="B12" s="38">
        <v>0</v>
      </c>
      <c r="C12" s="38">
        <v>0</v>
      </c>
      <c r="D12" s="38">
        <v>10</v>
      </c>
      <c r="E12" s="38">
        <v>16</v>
      </c>
      <c r="F12" s="38">
        <v>2</v>
      </c>
      <c r="G12" s="35">
        <f t="shared" si="0"/>
        <v>28</v>
      </c>
      <c r="H12" s="73"/>
    </row>
    <row r="13" spans="1:8" ht="15" thickBot="1">
      <c r="A13" s="56" t="s">
        <v>18</v>
      </c>
      <c r="B13" s="57">
        <v>0</v>
      </c>
      <c r="C13" s="57">
        <v>5</v>
      </c>
      <c r="D13" s="57">
        <v>11</v>
      </c>
      <c r="E13" s="57">
        <v>17</v>
      </c>
      <c r="F13" s="57">
        <v>19</v>
      </c>
      <c r="G13" s="45">
        <f t="shared" si="0"/>
        <v>52</v>
      </c>
      <c r="H13" s="74"/>
    </row>
    <row r="14" spans="1:8">
      <c r="A14" s="46" t="s">
        <v>19</v>
      </c>
      <c r="B14" s="47">
        <v>1</v>
      </c>
      <c r="C14" s="47">
        <v>0</v>
      </c>
      <c r="D14" s="47">
        <v>4</v>
      </c>
      <c r="E14" s="47">
        <v>11</v>
      </c>
      <c r="F14" s="47">
        <v>5</v>
      </c>
      <c r="G14" s="48">
        <f t="shared" si="0"/>
        <v>21</v>
      </c>
      <c r="H14" s="69">
        <f>SUM(G14:G17)</f>
        <v>139</v>
      </c>
    </row>
    <row r="15" spans="1:8">
      <c r="A15" s="49" t="s">
        <v>20</v>
      </c>
      <c r="B15" s="36">
        <v>0</v>
      </c>
      <c r="C15" s="36">
        <v>2</v>
      </c>
      <c r="D15" s="36">
        <v>12</v>
      </c>
      <c r="E15" s="36">
        <v>7</v>
      </c>
      <c r="F15" s="36">
        <v>18</v>
      </c>
      <c r="G15" s="37">
        <f t="shared" si="0"/>
        <v>39</v>
      </c>
      <c r="H15" s="70"/>
    </row>
    <row r="16" spans="1:8">
      <c r="A16" s="49" t="s">
        <v>21</v>
      </c>
      <c r="B16" s="36">
        <v>1</v>
      </c>
      <c r="C16" s="36">
        <v>0</v>
      </c>
      <c r="D16" s="36">
        <v>4</v>
      </c>
      <c r="E16" s="36">
        <v>20</v>
      </c>
      <c r="F16" s="36">
        <v>18</v>
      </c>
      <c r="G16" s="37">
        <f t="shared" si="0"/>
        <v>43</v>
      </c>
      <c r="H16" s="70"/>
    </row>
    <row r="17" spans="1:9" ht="15" thickBot="1">
      <c r="A17" s="50" t="s">
        <v>22</v>
      </c>
      <c r="B17" s="51">
        <v>0</v>
      </c>
      <c r="C17" s="51">
        <v>0</v>
      </c>
      <c r="D17" s="51">
        <v>3</v>
      </c>
      <c r="E17" s="51">
        <v>8</v>
      </c>
      <c r="F17" s="51">
        <v>25</v>
      </c>
      <c r="G17" s="52">
        <f t="shared" si="0"/>
        <v>36</v>
      </c>
      <c r="H17" s="71"/>
    </row>
    <row r="18" spans="1:9">
      <c r="A18" s="53" t="s">
        <v>23</v>
      </c>
      <c r="B18" s="54">
        <v>3</v>
      </c>
      <c r="C18" s="54">
        <v>1</v>
      </c>
      <c r="D18" s="54">
        <v>1</v>
      </c>
      <c r="E18" s="54">
        <v>13</v>
      </c>
      <c r="F18" s="54">
        <v>32</v>
      </c>
      <c r="G18" s="41">
        <f t="shared" si="0"/>
        <v>50</v>
      </c>
      <c r="H18" s="72">
        <f>SUM(G18:G21)</f>
        <v>156</v>
      </c>
    </row>
    <row r="19" spans="1:9">
      <c r="A19" s="55" t="s">
        <v>24</v>
      </c>
      <c r="B19" s="38">
        <v>1</v>
      </c>
      <c r="C19" s="38">
        <v>0</v>
      </c>
      <c r="D19" s="38">
        <v>11</v>
      </c>
      <c r="E19" s="38">
        <v>7</v>
      </c>
      <c r="F19" s="38">
        <v>37</v>
      </c>
      <c r="G19" s="35">
        <f t="shared" si="0"/>
        <v>56</v>
      </c>
      <c r="H19" s="73"/>
    </row>
    <row r="20" spans="1:9">
      <c r="A20" s="55" t="s">
        <v>25</v>
      </c>
      <c r="B20" s="38">
        <v>1</v>
      </c>
      <c r="C20" s="38">
        <v>0</v>
      </c>
      <c r="D20" s="38">
        <v>5</v>
      </c>
      <c r="E20" s="38">
        <v>4</v>
      </c>
      <c r="F20" s="38">
        <v>12</v>
      </c>
      <c r="G20" s="35">
        <f t="shared" si="0"/>
        <v>22</v>
      </c>
      <c r="H20" s="73"/>
    </row>
    <row r="21" spans="1:9" ht="15" thickBot="1">
      <c r="A21" s="56" t="s">
        <v>26</v>
      </c>
      <c r="B21" s="57">
        <v>0</v>
      </c>
      <c r="C21" s="57">
        <v>0</v>
      </c>
      <c r="D21" s="57">
        <v>8</v>
      </c>
      <c r="E21" s="57">
        <v>5</v>
      </c>
      <c r="F21" s="57">
        <v>15</v>
      </c>
      <c r="G21" s="45">
        <f t="shared" si="0"/>
        <v>28</v>
      </c>
      <c r="H21" s="74"/>
    </row>
    <row r="22" spans="1:9">
      <c r="A22" s="58" t="s">
        <v>27</v>
      </c>
      <c r="B22" s="47"/>
      <c r="C22" s="47"/>
      <c r="D22" s="47"/>
      <c r="E22" s="47"/>
      <c r="F22" s="47"/>
      <c r="G22" s="48">
        <f t="shared" si="0"/>
        <v>0</v>
      </c>
      <c r="H22" s="75">
        <f>SUM(G22:G24)</f>
        <v>0</v>
      </c>
    </row>
    <row r="23" spans="1:9" ht="15" thickBot="1">
      <c r="A23" s="59" t="s">
        <v>28</v>
      </c>
      <c r="B23" s="51"/>
      <c r="C23" s="51"/>
      <c r="D23" s="51"/>
      <c r="E23" s="51"/>
      <c r="F23" s="51"/>
      <c r="G23" s="52">
        <f t="shared" si="0"/>
        <v>0</v>
      </c>
      <c r="H23" s="76"/>
    </row>
    <row r="24" spans="1:9" ht="15" thickBot="1">
      <c r="A24" s="15"/>
      <c r="B24" s="1"/>
      <c r="C24" s="1"/>
      <c r="D24" s="1"/>
      <c r="E24" s="1"/>
      <c r="F24" s="1"/>
      <c r="G24" s="77"/>
      <c r="H24" s="77"/>
    </row>
    <row r="25" spans="1:9" ht="15" thickBot="1">
      <c r="A25" s="26" t="s">
        <v>29</v>
      </c>
      <c r="B25" s="21">
        <f>SUM(B2:B23)</f>
        <v>37</v>
      </c>
      <c r="C25" s="22">
        <f>SUM(C2:C23)</f>
        <v>26</v>
      </c>
      <c r="D25" s="22">
        <f>SUM(D2:D23)</f>
        <v>133</v>
      </c>
      <c r="E25" s="23">
        <f>SUM(E2:E23)</f>
        <v>249</v>
      </c>
      <c r="F25" s="24">
        <f>SUM(F2:F23)</f>
        <v>302</v>
      </c>
      <c r="G25" s="16" t="s">
        <v>30</v>
      </c>
      <c r="H25" s="19">
        <f>SUM(G2:G23)</f>
        <v>747</v>
      </c>
    </row>
    <row r="26" spans="1:9" ht="15" thickBot="1">
      <c r="A26" s="25" t="s">
        <v>31</v>
      </c>
      <c r="B26" s="27">
        <f>AVERAGE(B2:B23)</f>
        <v>1.85</v>
      </c>
      <c r="C26" s="28">
        <f>AVERAGE(C2:C23)</f>
        <v>1.3</v>
      </c>
      <c r="D26" s="28">
        <f>AVERAGE(D2:D23)</f>
        <v>6.65</v>
      </c>
      <c r="E26" s="29">
        <f>AVERAGE(E2:E23)</f>
        <v>12.45</v>
      </c>
      <c r="F26" s="30">
        <f>AVERAGE(F2:F23)</f>
        <v>15.1</v>
      </c>
      <c r="G26" s="17" t="s">
        <v>32</v>
      </c>
      <c r="H26" s="18">
        <f>SUM(B25*1,C25*2,D25*3,E25*4,F25*5)/H25</f>
        <v>4.0080321285140563</v>
      </c>
    </row>
    <row r="27" spans="1:9" ht="15" thickBot="1">
      <c r="G27" s="31" t="s">
        <v>33</v>
      </c>
      <c r="H27" s="32">
        <f>'SEMANA 34'!H26</f>
        <v>4.097357440890125</v>
      </c>
      <c r="I27" s="33" t="str">
        <f>_xlfn.CONCAT("", (H26-H27)/H27, "%")</f>
        <v>-0,0218007126946345%</v>
      </c>
    </row>
  </sheetData>
  <mergeCells count="7">
    <mergeCell ref="G24:H24"/>
    <mergeCell ref="H2:H5"/>
    <mergeCell ref="H6:H9"/>
    <mergeCell ref="H10:H13"/>
    <mergeCell ref="H14:H17"/>
    <mergeCell ref="H18:H21"/>
    <mergeCell ref="H22:H23"/>
  </mergeCells>
  <pageMargins left="0.511811024" right="0.511811024" top="0.78740157499999996" bottom="0.78740157499999996" header="0.31496062000000002" footer="0.31496062000000002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10002-E5B9-4992-8585-188732086447}">
  <dimension ref="A1:I27"/>
  <sheetViews>
    <sheetView tabSelected="1" zoomScaleNormal="100" workbookViewId="0">
      <selection activeCell="B8" sqref="B8:F9"/>
    </sheetView>
  </sheetViews>
  <sheetFormatPr defaultRowHeight="14.45"/>
  <cols>
    <col min="1" max="1" width="24.42578125" customWidth="1"/>
    <col min="2" max="2" width="4.140625" bestFit="1" customWidth="1"/>
    <col min="3" max="3" width="7" bestFit="1" customWidth="1"/>
    <col min="4" max="4" width="9.85546875" bestFit="1" customWidth="1"/>
    <col min="5" max="5" width="12.7109375" bestFit="1" customWidth="1"/>
    <col min="6" max="6" width="15.7109375" bestFit="1" customWidth="1"/>
    <col min="7" max="7" width="33.7109375" customWidth="1"/>
    <col min="8" max="8" width="26.85546875" bestFit="1" customWidth="1"/>
    <col min="9" max="9" width="27.7109375" customWidth="1"/>
  </cols>
  <sheetData>
    <row r="1" spans="1:8" ht="15" thickBot="1">
      <c r="B1" s="4" t="s">
        <v>0</v>
      </c>
      <c r="C1" s="5" t="s">
        <v>1</v>
      </c>
      <c r="D1" s="6" t="s">
        <v>2</v>
      </c>
      <c r="E1" s="7" t="s">
        <v>3</v>
      </c>
      <c r="F1" s="8" t="s">
        <v>4</v>
      </c>
      <c r="G1" s="2" t="s">
        <v>5</v>
      </c>
      <c r="H1" s="3" t="s">
        <v>6</v>
      </c>
    </row>
    <row r="2" spans="1:8">
      <c r="A2" s="39" t="s">
        <v>7</v>
      </c>
      <c r="B2" s="40">
        <v>2</v>
      </c>
      <c r="C2" s="40">
        <v>3</v>
      </c>
      <c r="D2" s="40">
        <v>6</v>
      </c>
      <c r="E2" s="40">
        <v>15</v>
      </c>
      <c r="F2" s="40">
        <v>10</v>
      </c>
      <c r="G2" s="41">
        <f>SUM(B2:F2)</f>
        <v>36</v>
      </c>
      <c r="H2" s="78">
        <f>SUM(G2:G5)</f>
        <v>181</v>
      </c>
    </row>
    <row r="3" spans="1:8">
      <c r="A3" s="42" t="s">
        <v>8</v>
      </c>
      <c r="B3" s="34">
        <v>3</v>
      </c>
      <c r="C3" s="34">
        <v>6</v>
      </c>
      <c r="D3" s="34">
        <v>19</v>
      </c>
      <c r="E3" s="34">
        <v>26</v>
      </c>
      <c r="F3" s="34">
        <v>13</v>
      </c>
      <c r="G3" s="35">
        <f>SUM(B3:F3)</f>
        <v>67</v>
      </c>
      <c r="H3" s="79"/>
    </row>
    <row r="4" spans="1:8">
      <c r="A4" s="42" t="s">
        <v>9</v>
      </c>
      <c r="B4" s="34">
        <v>0</v>
      </c>
      <c r="C4" s="34">
        <v>0</v>
      </c>
      <c r="D4" s="34">
        <v>5</v>
      </c>
      <c r="E4" s="34">
        <v>4</v>
      </c>
      <c r="F4" s="34">
        <v>19</v>
      </c>
      <c r="G4" s="35">
        <f t="shared" ref="G4:G23" si="0">SUM(B4:F4)</f>
        <v>28</v>
      </c>
      <c r="H4" s="79"/>
    </row>
    <row r="5" spans="1:8" ht="15" thickBot="1">
      <c r="A5" s="43" t="s">
        <v>10</v>
      </c>
      <c r="B5" s="44">
        <v>4</v>
      </c>
      <c r="C5" s="44">
        <v>2</v>
      </c>
      <c r="D5" s="44">
        <v>5</v>
      </c>
      <c r="E5" s="44">
        <v>14</v>
      </c>
      <c r="F5" s="44">
        <v>25</v>
      </c>
      <c r="G5" s="45">
        <f t="shared" si="0"/>
        <v>50</v>
      </c>
      <c r="H5" s="80"/>
    </row>
    <row r="6" spans="1:8">
      <c r="A6" s="46" t="s">
        <v>11</v>
      </c>
      <c r="B6" s="47">
        <v>1</v>
      </c>
      <c r="C6" s="47">
        <v>1</v>
      </c>
      <c r="D6" s="47">
        <v>5</v>
      </c>
      <c r="E6" s="47">
        <v>18</v>
      </c>
      <c r="F6" s="47">
        <v>15</v>
      </c>
      <c r="G6" s="48">
        <f t="shared" si="0"/>
        <v>40</v>
      </c>
      <c r="H6" s="69">
        <f>SUM(G6:G9)</f>
        <v>185</v>
      </c>
    </row>
    <row r="7" spans="1:8">
      <c r="A7" s="49" t="s">
        <v>12</v>
      </c>
      <c r="B7" s="36">
        <v>2</v>
      </c>
      <c r="C7" s="36">
        <v>2</v>
      </c>
      <c r="D7" s="36">
        <v>4</v>
      </c>
      <c r="E7" s="36">
        <v>20</v>
      </c>
      <c r="F7" s="36">
        <v>34</v>
      </c>
      <c r="G7" s="37">
        <f t="shared" si="0"/>
        <v>62</v>
      </c>
      <c r="H7" s="70"/>
    </row>
    <row r="8" spans="1:8">
      <c r="A8" s="49" t="s">
        <v>13</v>
      </c>
      <c r="B8" s="36">
        <v>0</v>
      </c>
      <c r="C8" s="36">
        <v>0</v>
      </c>
      <c r="D8" s="36">
        <v>4</v>
      </c>
      <c r="E8" s="36">
        <v>15</v>
      </c>
      <c r="F8" s="36">
        <v>17</v>
      </c>
      <c r="G8" s="37">
        <f t="shared" si="0"/>
        <v>36</v>
      </c>
      <c r="H8" s="70"/>
    </row>
    <row r="9" spans="1:8" ht="15" thickBot="1">
      <c r="A9" s="50" t="s">
        <v>14</v>
      </c>
      <c r="B9" s="51">
        <v>1</v>
      </c>
      <c r="C9" s="51">
        <v>2</v>
      </c>
      <c r="D9" s="51">
        <v>1</v>
      </c>
      <c r="E9" s="51">
        <v>19</v>
      </c>
      <c r="F9" s="51">
        <v>24</v>
      </c>
      <c r="G9" s="52">
        <f t="shared" si="0"/>
        <v>47</v>
      </c>
      <c r="H9" s="71"/>
    </row>
    <row r="10" spans="1:8">
      <c r="A10" s="53" t="s">
        <v>15</v>
      </c>
      <c r="B10" s="54">
        <v>0</v>
      </c>
      <c r="C10" s="54">
        <v>0</v>
      </c>
      <c r="D10" s="54">
        <v>6</v>
      </c>
      <c r="E10" s="54">
        <v>14</v>
      </c>
      <c r="F10" s="54">
        <v>14</v>
      </c>
      <c r="G10" s="41">
        <f t="shared" si="0"/>
        <v>34</v>
      </c>
      <c r="H10" s="72">
        <f>SUM(G10:G13)</f>
        <v>156</v>
      </c>
    </row>
    <row r="11" spans="1:8">
      <c r="A11" s="55" t="s">
        <v>16</v>
      </c>
      <c r="B11" s="38">
        <v>2</v>
      </c>
      <c r="C11" s="38">
        <v>0</v>
      </c>
      <c r="D11" s="38">
        <v>16</v>
      </c>
      <c r="E11" s="38">
        <v>14</v>
      </c>
      <c r="F11" s="38">
        <v>17</v>
      </c>
      <c r="G11" s="35">
        <f t="shared" si="0"/>
        <v>49</v>
      </c>
      <c r="H11" s="73"/>
    </row>
    <row r="12" spans="1:8">
      <c r="A12" s="55" t="s">
        <v>17</v>
      </c>
      <c r="B12" s="38">
        <v>4</v>
      </c>
      <c r="C12" s="38">
        <v>1</v>
      </c>
      <c r="D12" s="38">
        <v>2</v>
      </c>
      <c r="E12" s="38">
        <v>3</v>
      </c>
      <c r="F12" s="38">
        <v>24</v>
      </c>
      <c r="G12" s="35">
        <f t="shared" si="0"/>
        <v>34</v>
      </c>
      <c r="H12" s="73"/>
    </row>
    <row r="13" spans="1:8" ht="15" thickBot="1">
      <c r="A13" s="56" t="s">
        <v>18</v>
      </c>
      <c r="B13" s="57">
        <v>2</v>
      </c>
      <c r="C13" s="57">
        <v>0</v>
      </c>
      <c r="D13" s="57">
        <v>0</v>
      </c>
      <c r="E13" s="57">
        <v>2</v>
      </c>
      <c r="F13" s="57">
        <v>35</v>
      </c>
      <c r="G13" s="45">
        <f t="shared" si="0"/>
        <v>39</v>
      </c>
      <c r="H13" s="74"/>
    </row>
    <row r="14" spans="1:8">
      <c r="A14" s="46" t="s">
        <v>19</v>
      </c>
      <c r="B14" s="47">
        <v>2</v>
      </c>
      <c r="C14" s="47">
        <v>1</v>
      </c>
      <c r="D14" s="47">
        <v>1</v>
      </c>
      <c r="E14" s="47">
        <v>4</v>
      </c>
      <c r="F14" s="47">
        <v>16</v>
      </c>
      <c r="G14" s="48">
        <f t="shared" si="0"/>
        <v>24</v>
      </c>
      <c r="H14" s="69">
        <f>SUM(G14:G17)</f>
        <v>130</v>
      </c>
    </row>
    <row r="15" spans="1:8">
      <c r="A15" s="49" t="s">
        <v>20</v>
      </c>
      <c r="B15" s="36">
        <v>1</v>
      </c>
      <c r="C15" s="36">
        <v>6</v>
      </c>
      <c r="D15" s="36">
        <v>10</v>
      </c>
      <c r="E15" s="36">
        <v>19</v>
      </c>
      <c r="F15" s="36">
        <v>15</v>
      </c>
      <c r="G15" s="37">
        <f t="shared" si="0"/>
        <v>51</v>
      </c>
      <c r="H15" s="70"/>
    </row>
    <row r="16" spans="1:8">
      <c r="A16" s="49" t="s">
        <v>21</v>
      </c>
      <c r="B16" s="36">
        <v>0</v>
      </c>
      <c r="C16" s="36">
        <v>0</v>
      </c>
      <c r="D16" s="36">
        <v>0</v>
      </c>
      <c r="E16" s="36">
        <v>6</v>
      </c>
      <c r="F16" s="36">
        <v>8</v>
      </c>
      <c r="G16" s="37">
        <f t="shared" si="0"/>
        <v>14</v>
      </c>
      <c r="H16" s="70"/>
    </row>
    <row r="17" spans="1:9" ht="15" thickBot="1">
      <c r="A17" s="50" t="s">
        <v>22</v>
      </c>
      <c r="B17" s="51">
        <v>0</v>
      </c>
      <c r="C17" s="51">
        <v>2</v>
      </c>
      <c r="D17" s="51">
        <v>3</v>
      </c>
      <c r="E17" s="51">
        <v>24</v>
      </c>
      <c r="F17" s="51">
        <v>12</v>
      </c>
      <c r="G17" s="52">
        <f t="shared" si="0"/>
        <v>41</v>
      </c>
      <c r="H17" s="71"/>
    </row>
    <row r="18" spans="1:9">
      <c r="A18" s="53" t="s">
        <v>23</v>
      </c>
      <c r="B18" s="54">
        <v>1</v>
      </c>
      <c r="C18" s="54">
        <v>0</v>
      </c>
      <c r="D18" s="54">
        <v>3</v>
      </c>
      <c r="E18" s="54">
        <v>7</v>
      </c>
      <c r="F18" s="54">
        <v>10</v>
      </c>
      <c r="G18" s="41">
        <f t="shared" si="0"/>
        <v>21</v>
      </c>
      <c r="H18" s="72">
        <f>SUM(G18:G21)</f>
        <v>85</v>
      </c>
    </row>
    <row r="19" spans="1:9">
      <c r="A19" s="55" t="s">
        <v>24</v>
      </c>
      <c r="B19" s="38">
        <v>2</v>
      </c>
      <c r="C19" s="38">
        <v>3</v>
      </c>
      <c r="D19" s="38">
        <v>4</v>
      </c>
      <c r="E19" s="38">
        <v>12</v>
      </c>
      <c r="F19" s="38">
        <v>17</v>
      </c>
      <c r="G19" s="35">
        <f t="shared" si="0"/>
        <v>38</v>
      </c>
      <c r="H19" s="73"/>
    </row>
    <row r="20" spans="1:9">
      <c r="A20" s="55" t="s">
        <v>25</v>
      </c>
      <c r="B20" s="38">
        <v>2</v>
      </c>
      <c r="C20" s="38">
        <v>1</v>
      </c>
      <c r="D20" s="38">
        <v>0</v>
      </c>
      <c r="E20" s="38">
        <v>4</v>
      </c>
      <c r="F20" s="38">
        <v>5</v>
      </c>
      <c r="G20" s="35">
        <f t="shared" si="0"/>
        <v>12</v>
      </c>
      <c r="H20" s="73"/>
    </row>
    <row r="21" spans="1:9" ht="15" thickBot="1">
      <c r="A21" s="56" t="s">
        <v>26</v>
      </c>
      <c r="B21" s="57">
        <v>0</v>
      </c>
      <c r="C21" s="57">
        <v>0</v>
      </c>
      <c r="D21" s="57">
        <v>0</v>
      </c>
      <c r="E21" s="57">
        <v>7</v>
      </c>
      <c r="F21" s="57">
        <v>7</v>
      </c>
      <c r="G21" s="45">
        <f t="shared" si="0"/>
        <v>14</v>
      </c>
      <c r="H21" s="74"/>
    </row>
    <row r="22" spans="1:9">
      <c r="A22" s="58" t="s">
        <v>27</v>
      </c>
      <c r="B22" s="47"/>
      <c r="C22" s="47"/>
      <c r="D22" s="47"/>
      <c r="E22" s="47"/>
      <c r="F22" s="47"/>
      <c r="G22" s="48">
        <f t="shared" si="0"/>
        <v>0</v>
      </c>
      <c r="H22" s="75">
        <f>SUM(G22:G24)</f>
        <v>0</v>
      </c>
    </row>
    <row r="23" spans="1:9" ht="15" thickBot="1">
      <c r="A23" s="59" t="s">
        <v>28</v>
      </c>
      <c r="B23" s="51"/>
      <c r="C23" s="51"/>
      <c r="D23" s="51"/>
      <c r="E23" s="51"/>
      <c r="F23" s="51"/>
      <c r="G23" s="52">
        <f t="shared" si="0"/>
        <v>0</v>
      </c>
      <c r="H23" s="76"/>
    </row>
    <row r="24" spans="1:9" ht="15" thickBot="1">
      <c r="A24" s="15"/>
      <c r="B24" s="1"/>
      <c r="C24" s="1"/>
      <c r="D24" s="1"/>
      <c r="E24" s="1"/>
      <c r="F24" s="1"/>
      <c r="G24" s="77"/>
      <c r="H24" s="77"/>
    </row>
    <row r="25" spans="1:9" ht="15" thickBot="1">
      <c r="A25" s="26" t="s">
        <v>29</v>
      </c>
      <c r="B25" s="21">
        <f>SUM(B2:B23)</f>
        <v>29</v>
      </c>
      <c r="C25" s="22">
        <f>SUM(C2:C23)</f>
        <v>30</v>
      </c>
      <c r="D25" s="22">
        <f>SUM(D2:D23)</f>
        <v>94</v>
      </c>
      <c r="E25" s="23">
        <f>SUM(E2:E23)</f>
        <v>247</v>
      </c>
      <c r="F25" s="24">
        <f>SUM(F2:F23)</f>
        <v>337</v>
      </c>
      <c r="G25" s="16" t="s">
        <v>30</v>
      </c>
      <c r="H25" s="19">
        <f>SUM(G2:G23)</f>
        <v>737</v>
      </c>
    </row>
    <row r="26" spans="1:9" ht="15" thickBot="1">
      <c r="A26" s="25" t="s">
        <v>31</v>
      </c>
      <c r="B26" s="27">
        <f>AVERAGE(B2:B23)</f>
        <v>1.45</v>
      </c>
      <c r="C26" s="28">
        <f>AVERAGE(C2:C23)</f>
        <v>1.5</v>
      </c>
      <c r="D26" s="28">
        <f>AVERAGE(D2:D23)</f>
        <v>4.7</v>
      </c>
      <c r="E26" s="29">
        <f>AVERAGE(E2:E23)</f>
        <v>12.35</v>
      </c>
      <c r="F26" s="30">
        <f>AVERAGE(F2:F23)</f>
        <v>16.850000000000001</v>
      </c>
      <c r="G26" s="17" t="s">
        <v>32</v>
      </c>
      <c r="H26" s="18">
        <f>SUM(B25*1,C25*2,D25*3,E25*4,F25*5)/H25</f>
        <v>4.1302578018995932</v>
      </c>
    </row>
    <row r="27" spans="1:9" ht="15" thickBot="1">
      <c r="G27" s="31" t="s">
        <v>33</v>
      </c>
      <c r="H27" s="32">
        <f>'SEMANA 35'!H26</f>
        <v>4.0080321285140563</v>
      </c>
      <c r="I27" s="33" t="str">
        <f>_xlfn.CONCAT("", (H26-H27)/H27, "%")</f>
        <v>0,0304951830390768%</v>
      </c>
    </row>
  </sheetData>
  <mergeCells count="7">
    <mergeCell ref="G24:H24"/>
    <mergeCell ref="H2:H5"/>
    <mergeCell ref="H6:H9"/>
    <mergeCell ref="H10:H13"/>
    <mergeCell ref="H14:H17"/>
    <mergeCell ref="H18:H21"/>
    <mergeCell ref="H22:H23"/>
  </mergeCells>
  <pageMargins left="0.511811024" right="0.511811024" top="0.78740157499999996" bottom="0.78740157499999996" header="0.31496062000000002" footer="0.31496062000000002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A39F7-20F8-483F-B251-9229C21317D5}">
  <dimension ref="A1:I27"/>
  <sheetViews>
    <sheetView zoomScaleNormal="100" workbookViewId="0">
      <selection activeCell="B3" sqref="B3:F3 B5:F5 B7:F7 B9:F9 B11:F11 B13:F13 B15:F15 B17:F17 B19:F19 B21:F21 B23:F23"/>
    </sheetView>
  </sheetViews>
  <sheetFormatPr defaultRowHeight="14.45"/>
  <cols>
    <col min="1" max="1" width="24.42578125" customWidth="1"/>
    <col min="2" max="2" width="4.140625" bestFit="1" customWidth="1"/>
    <col min="3" max="3" width="7" bestFit="1" customWidth="1"/>
    <col min="4" max="4" width="9.85546875" bestFit="1" customWidth="1"/>
    <col min="5" max="5" width="12.7109375" bestFit="1" customWidth="1"/>
    <col min="6" max="6" width="15.7109375" bestFit="1" customWidth="1"/>
    <col min="7" max="7" width="33.7109375" customWidth="1"/>
    <col min="8" max="8" width="26.85546875" bestFit="1" customWidth="1"/>
    <col min="9" max="9" width="27.7109375" customWidth="1"/>
  </cols>
  <sheetData>
    <row r="1" spans="1:8" ht="15" thickBot="1">
      <c r="B1" s="4" t="s">
        <v>0</v>
      </c>
      <c r="C1" s="5" t="s">
        <v>1</v>
      </c>
      <c r="D1" s="6" t="s">
        <v>2</v>
      </c>
      <c r="E1" s="7" t="s">
        <v>3</v>
      </c>
      <c r="F1" s="8" t="s">
        <v>4</v>
      </c>
      <c r="G1" s="2" t="s">
        <v>5</v>
      </c>
      <c r="H1" s="3" t="s">
        <v>6</v>
      </c>
    </row>
    <row r="2" spans="1:8">
      <c r="A2" s="39" t="s">
        <v>7</v>
      </c>
      <c r="B2" s="40">
        <v>0</v>
      </c>
      <c r="C2" s="40">
        <v>2</v>
      </c>
      <c r="D2" s="40">
        <v>2</v>
      </c>
      <c r="E2" s="40">
        <v>12</v>
      </c>
      <c r="F2" s="40">
        <v>7</v>
      </c>
      <c r="G2" s="41">
        <f>SUM(B2:F2)</f>
        <v>23</v>
      </c>
      <c r="H2" s="78">
        <f>SUM(G2:G5)</f>
        <v>165</v>
      </c>
    </row>
    <row r="3" spans="1:8">
      <c r="A3" s="42" t="s">
        <v>8</v>
      </c>
      <c r="B3" s="34">
        <v>0</v>
      </c>
      <c r="C3" s="34">
        <v>0</v>
      </c>
      <c r="D3" s="34">
        <v>14</v>
      </c>
      <c r="E3" s="34">
        <v>25</v>
      </c>
      <c r="F3" s="34">
        <v>10</v>
      </c>
      <c r="G3" s="35">
        <f>SUM(B3:F3)</f>
        <v>49</v>
      </c>
      <c r="H3" s="79"/>
    </row>
    <row r="4" spans="1:8">
      <c r="A4" s="42" t="s">
        <v>9</v>
      </c>
      <c r="B4" s="34">
        <v>2</v>
      </c>
      <c r="C4" s="34">
        <v>0</v>
      </c>
      <c r="D4" s="34">
        <v>4</v>
      </c>
      <c r="E4" s="34">
        <v>8</v>
      </c>
      <c r="F4" s="34">
        <v>22</v>
      </c>
      <c r="G4" s="35">
        <f t="shared" ref="G4:G23" si="0">SUM(B4:F4)</f>
        <v>36</v>
      </c>
      <c r="H4" s="79"/>
    </row>
    <row r="5" spans="1:8" ht="15" thickBot="1">
      <c r="A5" s="43" t="s">
        <v>10</v>
      </c>
      <c r="B5" s="44">
        <v>1</v>
      </c>
      <c r="C5" s="44">
        <v>0</v>
      </c>
      <c r="D5" s="44">
        <v>2</v>
      </c>
      <c r="E5" s="44">
        <v>7</v>
      </c>
      <c r="F5" s="44">
        <v>47</v>
      </c>
      <c r="G5" s="45">
        <f t="shared" si="0"/>
        <v>57</v>
      </c>
      <c r="H5" s="80"/>
    </row>
    <row r="6" spans="1:8">
      <c r="A6" s="46" t="s">
        <v>11</v>
      </c>
      <c r="B6" s="47">
        <v>8</v>
      </c>
      <c r="C6" s="47">
        <v>4</v>
      </c>
      <c r="D6" s="47">
        <v>3</v>
      </c>
      <c r="E6" s="47">
        <v>19</v>
      </c>
      <c r="F6" s="47">
        <v>1</v>
      </c>
      <c r="G6" s="48">
        <f t="shared" si="0"/>
        <v>35</v>
      </c>
      <c r="H6" s="69">
        <f>SUM(G6:G9)</f>
        <v>132</v>
      </c>
    </row>
    <row r="7" spans="1:8">
      <c r="A7" s="49" t="s">
        <v>12</v>
      </c>
      <c r="B7" s="36">
        <v>2</v>
      </c>
      <c r="C7" s="36">
        <v>1</v>
      </c>
      <c r="D7" s="36">
        <v>8</v>
      </c>
      <c r="E7" s="36">
        <v>19</v>
      </c>
      <c r="F7" s="36">
        <v>7</v>
      </c>
      <c r="G7" s="37">
        <f t="shared" si="0"/>
        <v>37</v>
      </c>
      <c r="H7" s="70"/>
    </row>
    <row r="8" spans="1:8">
      <c r="A8" s="49" t="s">
        <v>13</v>
      </c>
      <c r="B8" s="36">
        <v>0</v>
      </c>
      <c r="C8" s="36">
        <v>0</v>
      </c>
      <c r="D8" s="36">
        <v>2</v>
      </c>
      <c r="E8" s="36">
        <v>15</v>
      </c>
      <c r="F8" s="36">
        <v>5</v>
      </c>
      <c r="G8" s="37">
        <f t="shared" si="0"/>
        <v>22</v>
      </c>
      <c r="H8" s="70"/>
    </row>
    <row r="9" spans="1:8" ht="15" thickBot="1">
      <c r="A9" s="50" t="s">
        <v>14</v>
      </c>
      <c r="B9" s="51">
        <v>1</v>
      </c>
      <c r="C9" s="51">
        <v>2</v>
      </c>
      <c r="D9" s="51">
        <v>7</v>
      </c>
      <c r="E9" s="51">
        <v>11</v>
      </c>
      <c r="F9" s="51">
        <v>17</v>
      </c>
      <c r="G9" s="52">
        <f t="shared" si="0"/>
        <v>38</v>
      </c>
      <c r="H9" s="71"/>
    </row>
    <row r="10" spans="1:8">
      <c r="A10" s="53" t="s">
        <v>15</v>
      </c>
      <c r="B10" s="54">
        <v>0</v>
      </c>
      <c r="C10" s="54">
        <v>1</v>
      </c>
      <c r="D10" s="54">
        <v>7</v>
      </c>
      <c r="E10" s="54">
        <v>12</v>
      </c>
      <c r="F10" s="54">
        <v>3</v>
      </c>
      <c r="G10" s="41">
        <f t="shared" si="0"/>
        <v>23</v>
      </c>
      <c r="H10" s="72">
        <f>SUM(G10:G13)</f>
        <v>123</v>
      </c>
    </row>
    <row r="11" spans="1:8">
      <c r="A11" s="55" t="s">
        <v>16</v>
      </c>
      <c r="B11" s="38">
        <v>2</v>
      </c>
      <c r="C11" s="38">
        <v>1</v>
      </c>
      <c r="D11" s="38">
        <v>3</v>
      </c>
      <c r="E11" s="38">
        <v>9</v>
      </c>
      <c r="F11" s="38">
        <v>22</v>
      </c>
      <c r="G11" s="35">
        <f t="shared" si="0"/>
        <v>37</v>
      </c>
      <c r="H11" s="73"/>
    </row>
    <row r="12" spans="1:8">
      <c r="A12" s="55" t="s">
        <v>17</v>
      </c>
      <c r="B12" s="38">
        <v>1</v>
      </c>
      <c r="C12" s="38">
        <v>0</v>
      </c>
      <c r="D12" s="38">
        <v>2</v>
      </c>
      <c r="E12" s="38">
        <v>8</v>
      </c>
      <c r="F12" s="38">
        <v>16</v>
      </c>
      <c r="G12" s="35">
        <f t="shared" si="0"/>
        <v>27</v>
      </c>
      <c r="H12" s="73"/>
    </row>
    <row r="13" spans="1:8" ht="15" thickBot="1">
      <c r="A13" s="56" t="s">
        <v>18</v>
      </c>
      <c r="B13" s="57">
        <v>0</v>
      </c>
      <c r="C13" s="57">
        <v>1</v>
      </c>
      <c r="D13" s="57">
        <v>2</v>
      </c>
      <c r="E13" s="57">
        <v>8</v>
      </c>
      <c r="F13" s="57">
        <v>25</v>
      </c>
      <c r="G13" s="45">
        <f t="shared" si="0"/>
        <v>36</v>
      </c>
      <c r="H13" s="74"/>
    </row>
    <row r="14" spans="1:8">
      <c r="A14" s="46" t="s">
        <v>19</v>
      </c>
      <c r="B14" s="47">
        <v>2</v>
      </c>
      <c r="C14" s="47">
        <v>1</v>
      </c>
      <c r="D14" s="47">
        <v>5</v>
      </c>
      <c r="E14" s="47">
        <v>9</v>
      </c>
      <c r="F14" s="47">
        <v>1</v>
      </c>
      <c r="G14" s="48">
        <f t="shared" si="0"/>
        <v>18</v>
      </c>
      <c r="H14" s="69">
        <f>SUM(G14:G17)</f>
        <v>111</v>
      </c>
    </row>
    <row r="15" spans="1:8">
      <c r="A15" s="49" t="s">
        <v>20</v>
      </c>
      <c r="B15" s="36">
        <v>2</v>
      </c>
      <c r="C15" s="36">
        <v>2</v>
      </c>
      <c r="D15" s="36">
        <v>6</v>
      </c>
      <c r="E15" s="36">
        <v>21</v>
      </c>
      <c r="F15" s="36">
        <v>3</v>
      </c>
      <c r="G15" s="37">
        <f t="shared" si="0"/>
        <v>34</v>
      </c>
      <c r="H15" s="70"/>
    </row>
    <row r="16" spans="1:8">
      <c r="A16" s="49" t="s">
        <v>21</v>
      </c>
      <c r="B16" s="36">
        <v>4</v>
      </c>
      <c r="C16" s="36">
        <v>6</v>
      </c>
      <c r="D16" s="36">
        <v>4</v>
      </c>
      <c r="E16" s="36">
        <v>2</v>
      </c>
      <c r="F16" s="36">
        <v>8</v>
      </c>
      <c r="G16" s="37">
        <f t="shared" si="0"/>
        <v>24</v>
      </c>
      <c r="H16" s="70"/>
    </row>
    <row r="17" spans="1:9" ht="15" thickBot="1">
      <c r="A17" s="50" t="s">
        <v>22</v>
      </c>
      <c r="B17" s="51">
        <v>7</v>
      </c>
      <c r="C17" s="51">
        <v>3</v>
      </c>
      <c r="D17" s="51">
        <v>8</v>
      </c>
      <c r="E17" s="51">
        <v>10</v>
      </c>
      <c r="F17" s="51">
        <v>7</v>
      </c>
      <c r="G17" s="52">
        <f t="shared" si="0"/>
        <v>35</v>
      </c>
      <c r="H17" s="71"/>
    </row>
    <row r="18" spans="1:9">
      <c r="A18" s="53" t="s">
        <v>23</v>
      </c>
      <c r="B18" s="54">
        <v>0</v>
      </c>
      <c r="C18" s="54">
        <v>1</v>
      </c>
      <c r="D18" s="54">
        <v>1</v>
      </c>
      <c r="E18" s="54">
        <v>3</v>
      </c>
      <c r="F18" s="54">
        <v>30</v>
      </c>
      <c r="G18" s="41">
        <f t="shared" si="0"/>
        <v>35</v>
      </c>
      <c r="H18" s="72">
        <f>SUM(G18:G21)</f>
        <v>121</v>
      </c>
    </row>
    <row r="19" spans="1:9">
      <c r="A19" s="55" t="s">
        <v>24</v>
      </c>
      <c r="B19" s="38">
        <v>1</v>
      </c>
      <c r="C19" s="38">
        <v>0</v>
      </c>
      <c r="D19" s="38">
        <v>4</v>
      </c>
      <c r="E19" s="38">
        <v>13</v>
      </c>
      <c r="F19" s="38">
        <v>29</v>
      </c>
      <c r="G19" s="35">
        <f t="shared" si="0"/>
        <v>47</v>
      </c>
      <c r="H19" s="73"/>
    </row>
    <row r="20" spans="1:9">
      <c r="A20" s="55" t="s">
        <v>25</v>
      </c>
      <c r="B20" s="38">
        <v>0</v>
      </c>
      <c r="C20" s="38">
        <v>0</v>
      </c>
      <c r="D20" s="38">
        <v>2</v>
      </c>
      <c r="E20" s="38">
        <v>4</v>
      </c>
      <c r="F20" s="38">
        <v>5</v>
      </c>
      <c r="G20" s="35">
        <f t="shared" si="0"/>
        <v>11</v>
      </c>
      <c r="H20" s="73"/>
    </row>
    <row r="21" spans="1:9" ht="15" thickBot="1">
      <c r="A21" s="56" t="s">
        <v>26</v>
      </c>
      <c r="B21" s="57">
        <v>0</v>
      </c>
      <c r="C21" s="57">
        <v>2</v>
      </c>
      <c r="D21" s="57">
        <v>4</v>
      </c>
      <c r="E21" s="57">
        <v>6</v>
      </c>
      <c r="F21" s="57">
        <v>16</v>
      </c>
      <c r="G21" s="45">
        <f t="shared" si="0"/>
        <v>28</v>
      </c>
      <c r="H21" s="74"/>
    </row>
    <row r="22" spans="1:9">
      <c r="A22" s="58" t="s">
        <v>27</v>
      </c>
      <c r="B22" s="47">
        <v>1</v>
      </c>
      <c r="C22" s="47">
        <v>0</v>
      </c>
      <c r="D22" s="47">
        <v>1</v>
      </c>
      <c r="E22" s="47">
        <v>3</v>
      </c>
      <c r="F22" s="47">
        <v>9</v>
      </c>
      <c r="G22" s="48">
        <f t="shared" si="0"/>
        <v>14</v>
      </c>
      <c r="H22" s="75">
        <f>SUM(G22:G24)</f>
        <v>53</v>
      </c>
    </row>
    <row r="23" spans="1:9" ht="15" thickBot="1">
      <c r="A23" s="59" t="s">
        <v>28</v>
      </c>
      <c r="B23" s="51">
        <v>0</v>
      </c>
      <c r="C23" s="51">
        <v>0</v>
      </c>
      <c r="D23" s="51">
        <v>2</v>
      </c>
      <c r="E23" s="51">
        <v>9</v>
      </c>
      <c r="F23" s="51">
        <v>28</v>
      </c>
      <c r="G23" s="52">
        <f t="shared" si="0"/>
        <v>39</v>
      </c>
      <c r="H23" s="76"/>
    </row>
    <row r="24" spans="1:9" ht="15" thickBot="1">
      <c r="A24" s="15"/>
      <c r="B24" s="1"/>
      <c r="C24" s="1"/>
      <c r="D24" s="1"/>
      <c r="E24" s="1"/>
      <c r="F24" s="1"/>
      <c r="G24" s="77"/>
      <c r="H24" s="77"/>
    </row>
    <row r="25" spans="1:9" ht="15" thickBot="1">
      <c r="A25" s="26" t="s">
        <v>29</v>
      </c>
      <c r="B25" s="21">
        <f>SUM(B2:B23)</f>
        <v>34</v>
      </c>
      <c r="C25" s="22">
        <f>SUM(C2:C23)</f>
        <v>27</v>
      </c>
      <c r="D25" s="22">
        <f>SUM(D2:D23)</f>
        <v>93</v>
      </c>
      <c r="E25" s="23">
        <f>SUM(E2:E23)</f>
        <v>233</v>
      </c>
      <c r="F25" s="24">
        <f>SUM(F2:F23)</f>
        <v>318</v>
      </c>
      <c r="G25" s="16" t="s">
        <v>30</v>
      </c>
      <c r="H25" s="19">
        <f>SUM(G2:G23)</f>
        <v>705</v>
      </c>
    </row>
    <row r="26" spans="1:9" ht="15" thickBot="1">
      <c r="A26" s="25" t="s">
        <v>31</v>
      </c>
      <c r="B26" s="27">
        <f>AVERAGE(B2:B23)</f>
        <v>1.5454545454545454</v>
      </c>
      <c r="C26" s="28">
        <f>AVERAGE(C2:C23)</f>
        <v>1.2272727272727273</v>
      </c>
      <c r="D26" s="28">
        <f>AVERAGE(D2:D23)</f>
        <v>4.2272727272727275</v>
      </c>
      <c r="E26" s="29">
        <f>AVERAGE(E2:E23)</f>
        <v>10.590909090909092</v>
      </c>
      <c r="F26" s="30">
        <f>AVERAGE(F2:F23)</f>
        <v>14.454545454545455</v>
      </c>
      <c r="G26" s="17" t="s">
        <v>32</v>
      </c>
      <c r="H26" s="18">
        <f>SUM(B25*1,C25*2,D25*3,E25*4,F25*5)/H25</f>
        <v>4.0978723404255319</v>
      </c>
    </row>
    <row r="27" spans="1:9" ht="15" thickBot="1">
      <c r="G27" s="31" t="s">
        <v>33</v>
      </c>
      <c r="H27" s="32">
        <f>'SEMANA 36'!H26</f>
        <v>4.1302578018995932</v>
      </c>
      <c r="I27" s="33" t="str">
        <f>_xlfn.CONCAT("", (H26-H27)/H27, "%")</f>
        <v>-0,00784102664467253%</v>
      </c>
    </row>
  </sheetData>
  <mergeCells count="7">
    <mergeCell ref="G24:H24"/>
    <mergeCell ref="H2:H5"/>
    <mergeCell ref="H6:H9"/>
    <mergeCell ref="H10:H13"/>
    <mergeCell ref="H14:H17"/>
    <mergeCell ref="H18:H21"/>
    <mergeCell ref="H22:H23"/>
  </mergeCells>
  <pageMargins left="0.511811024" right="0.511811024" top="0.78740157499999996" bottom="0.78740157499999996" header="0.31496062000000002" footer="0.31496062000000002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2F6FB-6766-4C46-8ED1-B949649C14D2}">
  <dimension ref="A1:I27"/>
  <sheetViews>
    <sheetView zoomScaleNormal="100" workbookViewId="0">
      <selection activeCell="B6" activeCellId="2" sqref="B2:F2 B4:F4 B6:F6"/>
    </sheetView>
  </sheetViews>
  <sheetFormatPr defaultRowHeight="14.45"/>
  <cols>
    <col min="1" max="1" width="24.42578125" customWidth="1"/>
    <col min="2" max="2" width="4.140625" bestFit="1" customWidth="1"/>
    <col min="3" max="3" width="7" bestFit="1" customWidth="1"/>
    <col min="4" max="4" width="9.85546875" bestFit="1" customWidth="1"/>
    <col min="5" max="5" width="12.7109375" bestFit="1" customWidth="1"/>
    <col min="6" max="6" width="15.7109375" bestFit="1" customWidth="1"/>
    <col min="7" max="7" width="33.7109375" customWidth="1"/>
    <col min="8" max="8" width="26.85546875" bestFit="1" customWidth="1"/>
    <col min="9" max="9" width="27.7109375" customWidth="1"/>
  </cols>
  <sheetData>
    <row r="1" spans="1:8" ht="15" thickBot="1">
      <c r="B1" s="4" t="s">
        <v>0</v>
      </c>
      <c r="C1" s="5" t="s">
        <v>1</v>
      </c>
      <c r="D1" s="6" t="s">
        <v>2</v>
      </c>
      <c r="E1" s="7" t="s">
        <v>3</v>
      </c>
      <c r="F1" s="8" t="s">
        <v>4</v>
      </c>
      <c r="G1" s="2" t="s">
        <v>5</v>
      </c>
      <c r="H1" s="3" t="s">
        <v>6</v>
      </c>
    </row>
    <row r="2" spans="1:8">
      <c r="A2" s="39" t="s">
        <v>7</v>
      </c>
      <c r="B2" s="40">
        <v>0</v>
      </c>
      <c r="C2" s="40">
        <v>1</v>
      </c>
      <c r="D2" s="40">
        <v>1</v>
      </c>
      <c r="E2" s="40">
        <v>6</v>
      </c>
      <c r="F2" s="40">
        <v>16</v>
      </c>
      <c r="G2" s="41">
        <f>SUM(B2:F2)</f>
        <v>24</v>
      </c>
      <c r="H2" s="78">
        <f>SUM(G2:G5)</f>
        <v>136</v>
      </c>
    </row>
    <row r="3" spans="1:8">
      <c r="A3" s="42" t="s">
        <v>8</v>
      </c>
      <c r="B3" s="34">
        <v>1</v>
      </c>
      <c r="C3" s="34">
        <v>0</v>
      </c>
      <c r="D3" s="34">
        <v>3</v>
      </c>
      <c r="E3" s="34">
        <v>9</v>
      </c>
      <c r="F3" s="34">
        <v>26</v>
      </c>
      <c r="G3" s="35">
        <f>SUM(B3:F3)</f>
        <v>39</v>
      </c>
      <c r="H3" s="79"/>
    </row>
    <row r="4" spans="1:8">
      <c r="A4" s="42" t="s">
        <v>9</v>
      </c>
      <c r="B4" s="34">
        <v>1</v>
      </c>
      <c r="C4" s="34">
        <v>0</v>
      </c>
      <c r="D4" s="34">
        <v>1</v>
      </c>
      <c r="E4" s="34">
        <v>7</v>
      </c>
      <c r="F4" s="34">
        <v>19</v>
      </c>
      <c r="G4" s="35">
        <f t="shared" ref="G4:G23" si="0">SUM(B4:F4)</f>
        <v>28</v>
      </c>
      <c r="H4" s="79"/>
    </row>
    <row r="5" spans="1:8" ht="15" thickBot="1">
      <c r="A5" s="43" t="s">
        <v>10</v>
      </c>
      <c r="B5" s="44">
        <v>4</v>
      </c>
      <c r="C5" s="44">
        <v>1</v>
      </c>
      <c r="D5" s="44">
        <v>6</v>
      </c>
      <c r="E5" s="44">
        <v>14</v>
      </c>
      <c r="F5" s="44">
        <v>20</v>
      </c>
      <c r="G5" s="45">
        <f t="shared" si="0"/>
        <v>45</v>
      </c>
      <c r="H5" s="80"/>
    </row>
    <row r="6" spans="1:8">
      <c r="A6" s="46" t="s">
        <v>11</v>
      </c>
      <c r="B6" s="47">
        <v>1</v>
      </c>
      <c r="C6" s="47">
        <v>5</v>
      </c>
      <c r="D6" s="47">
        <v>2</v>
      </c>
      <c r="E6" s="47">
        <v>5</v>
      </c>
      <c r="F6" s="47">
        <v>4</v>
      </c>
      <c r="G6" s="48">
        <f t="shared" si="0"/>
        <v>17</v>
      </c>
      <c r="H6" s="69">
        <f>SUM(G6:G9)</f>
        <v>130</v>
      </c>
    </row>
    <row r="7" spans="1:8">
      <c r="A7" s="49" t="s">
        <v>12</v>
      </c>
      <c r="B7" s="36">
        <v>4</v>
      </c>
      <c r="C7" s="36">
        <v>7</v>
      </c>
      <c r="D7" s="36">
        <v>19</v>
      </c>
      <c r="E7" s="36">
        <v>20</v>
      </c>
      <c r="F7" s="36">
        <v>5</v>
      </c>
      <c r="G7" s="37">
        <f t="shared" si="0"/>
        <v>55</v>
      </c>
      <c r="H7" s="70"/>
    </row>
    <row r="8" spans="1:8">
      <c r="A8" s="49" t="s">
        <v>13</v>
      </c>
      <c r="B8" s="36">
        <v>1</v>
      </c>
      <c r="C8" s="36">
        <v>2</v>
      </c>
      <c r="D8" s="36">
        <v>7</v>
      </c>
      <c r="E8" s="36">
        <v>8</v>
      </c>
      <c r="F8" s="36">
        <v>9</v>
      </c>
      <c r="G8" s="37">
        <f t="shared" si="0"/>
        <v>27</v>
      </c>
      <c r="H8" s="70"/>
    </row>
    <row r="9" spans="1:8" ht="15" thickBot="1">
      <c r="A9" s="50" t="s">
        <v>14</v>
      </c>
      <c r="B9" s="51">
        <v>2</v>
      </c>
      <c r="C9" s="51">
        <v>0</v>
      </c>
      <c r="D9" s="51">
        <v>5</v>
      </c>
      <c r="E9" s="51">
        <v>7</v>
      </c>
      <c r="F9" s="51">
        <v>17</v>
      </c>
      <c r="G9" s="52">
        <f t="shared" si="0"/>
        <v>31</v>
      </c>
      <c r="H9" s="71"/>
    </row>
    <row r="10" spans="1:8">
      <c r="A10" s="53" t="s">
        <v>15</v>
      </c>
      <c r="B10" s="54">
        <v>3</v>
      </c>
      <c r="C10" s="54">
        <v>3</v>
      </c>
      <c r="D10" s="54">
        <v>2</v>
      </c>
      <c r="E10" s="54">
        <v>4</v>
      </c>
      <c r="F10" s="54">
        <v>10</v>
      </c>
      <c r="G10" s="41">
        <f t="shared" si="0"/>
        <v>22</v>
      </c>
      <c r="H10" s="72">
        <f>SUM(G10:G13)</f>
        <v>131</v>
      </c>
    </row>
    <row r="11" spans="1:8">
      <c r="A11" s="55" t="s">
        <v>16</v>
      </c>
      <c r="B11" s="38">
        <v>0</v>
      </c>
      <c r="C11" s="38">
        <v>0</v>
      </c>
      <c r="D11" s="38">
        <v>4</v>
      </c>
      <c r="E11" s="38">
        <v>23</v>
      </c>
      <c r="F11" s="38">
        <v>10</v>
      </c>
      <c r="G11" s="35">
        <f t="shared" si="0"/>
        <v>37</v>
      </c>
      <c r="H11" s="73"/>
    </row>
    <row r="12" spans="1:8">
      <c r="A12" s="55" t="s">
        <v>17</v>
      </c>
      <c r="B12" s="38">
        <v>1</v>
      </c>
      <c r="C12" s="38">
        <v>1</v>
      </c>
      <c r="D12" s="38">
        <v>2</v>
      </c>
      <c r="E12" s="38">
        <v>11</v>
      </c>
      <c r="F12" s="38">
        <v>12</v>
      </c>
      <c r="G12" s="35">
        <f t="shared" si="0"/>
        <v>27</v>
      </c>
      <c r="H12" s="73"/>
    </row>
    <row r="13" spans="1:8" ht="15" thickBot="1">
      <c r="A13" s="56" t="s">
        <v>18</v>
      </c>
      <c r="B13" s="57">
        <v>1</v>
      </c>
      <c r="C13" s="57">
        <v>0</v>
      </c>
      <c r="D13" s="57">
        <v>9</v>
      </c>
      <c r="E13" s="57">
        <v>17</v>
      </c>
      <c r="F13" s="57">
        <v>18</v>
      </c>
      <c r="G13" s="45">
        <f t="shared" si="0"/>
        <v>45</v>
      </c>
      <c r="H13" s="74"/>
    </row>
    <row r="14" spans="1:8">
      <c r="A14" s="46" t="s">
        <v>19</v>
      </c>
      <c r="B14" s="47">
        <v>1</v>
      </c>
      <c r="C14" s="47">
        <v>1</v>
      </c>
      <c r="D14" s="47">
        <v>14</v>
      </c>
      <c r="E14" s="47">
        <v>8</v>
      </c>
      <c r="F14" s="47">
        <v>1</v>
      </c>
      <c r="G14" s="48">
        <f t="shared" si="0"/>
        <v>25</v>
      </c>
      <c r="H14" s="69">
        <f>SUM(G14:G17)</f>
        <v>130</v>
      </c>
    </row>
    <row r="15" spans="1:8">
      <c r="A15" s="49" t="s">
        <v>20</v>
      </c>
      <c r="B15" s="36">
        <v>5</v>
      </c>
      <c r="C15" s="36">
        <v>8</v>
      </c>
      <c r="D15" s="36">
        <v>20</v>
      </c>
      <c r="E15" s="36">
        <v>11</v>
      </c>
      <c r="F15" s="36">
        <v>6</v>
      </c>
      <c r="G15" s="37">
        <f t="shared" si="0"/>
        <v>50</v>
      </c>
      <c r="H15" s="70"/>
    </row>
    <row r="16" spans="1:8">
      <c r="A16" s="49" t="s">
        <v>21</v>
      </c>
      <c r="B16" s="36">
        <v>2</v>
      </c>
      <c r="C16" s="36">
        <v>6</v>
      </c>
      <c r="D16" s="36">
        <v>4</v>
      </c>
      <c r="E16" s="36">
        <v>5</v>
      </c>
      <c r="F16" s="36">
        <v>9</v>
      </c>
      <c r="G16" s="37">
        <f t="shared" si="0"/>
        <v>26</v>
      </c>
      <c r="H16" s="70"/>
    </row>
    <row r="17" spans="1:9" ht="15" thickBot="1">
      <c r="A17" s="50" t="s">
        <v>22</v>
      </c>
      <c r="B17" s="51">
        <v>0</v>
      </c>
      <c r="C17" s="51">
        <v>3</v>
      </c>
      <c r="D17" s="51">
        <v>5</v>
      </c>
      <c r="E17" s="51">
        <v>13</v>
      </c>
      <c r="F17" s="51">
        <v>8</v>
      </c>
      <c r="G17" s="52">
        <f t="shared" si="0"/>
        <v>29</v>
      </c>
      <c r="H17" s="71"/>
    </row>
    <row r="18" spans="1:9">
      <c r="A18" s="53" t="s">
        <v>23</v>
      </c>
      <c r="B18" s="54">
        <v>0</v>
      </c>
      <c r="C18" s="54">
        <v>2</v>
      </c>
      <c r="D18" s="54">
        <v>6</v>
      </c>
      <c r="E18" s="54">
        <v>8</v>
      </c>
      <c r="F18" s="54">
        <v>3</v>
      </c>
      <c r="G18" s="41">
        <f t="shared" si="0"/>
        <v>19</v>
      </c>
      <c r="H18" s="72">
        <f>SUM(G18:G21)</f>
        <v>97</v>
      </c>
    </row>
    <row r="19" spans="1:9">
      <c r="A19" s="55" t="s">
        <v>24</v>
      </c>
      <c r="B19" s="38">
        <v>1</v>
      </c>
      <c r="C19" s="38">
        <v>6</v>
      </c>
      <c r="D19" s="38">
        <v>6</v>
      </c>
      <c r="E19" s="38">
        <v>17</v>
      </c>
      <c r="F19" s="38">
        <v>8</v>
      </c>
      <c r="G19" s="35">
        <f t="shared" si="0"/>
        <v>38</v>
      </c>
      <c r="H19" s="73"/>
    </row>
    <row r="20" spans="1:9">
      <c r="A20" s="55" t="s">
        <v>25</v>
      </c>
      <c r="B20" s="38">
        <v>0</v>
      </c>
      <c r="C20" s="38">
        <v>3</v>
      </c>
      <c r="D20" s="38">
        <v>0</v>
      </c>
      <c r="E20" s="38">
        <v>1</v>
      </c>
      <c r="F20" s="38">
        <v>17</v>
      </c>
      <c r="G20" s="35">
        <f t="shared" si="0"/>
        <v>21</v>
      </c>
      <c r="H20" s="73"/>
    </row>
    <row r="21" spans="1:9" ht="15" thickBot="1">
      <c r="A21" s="56" t="s">
        <v>26</v>
      </c>
      <c r="B21" s="57">
        <v>0</v>
      </c>
      <c r="C21" s="57">
        <v>0</v>
      </c>
      <c r="D21" s="57">
        <v>0</v>
      </c>
      <c r="E21" s="57">
        <v>4</v>
      </c>
      <c r="F21" s="57">
        <v>15</v>
      </c>
      <c r="G21" s="45">
        <f t="shared" si="0"/>
        <v>19</v>
      </c>
      <c r="H21" s="74"/>
    </row>
    <row r="22" spans="1:9">
      <c r="A22" s="58" t="s">
        <v>27</v>
      </c>
      <c r="B22" s="47">
        <v>1</v>
      </c>
      <c r="C22" s="47">
        <v>5</v>
      </c>
      <c r="D22" s="47">
        <v>3</v>
      </c>
      <c r="E22" s="47">
        <v>4</v>
      </c>
      <c r="F22" s="47">
        <v>7</v>
      </c>
      <c r="G22" s="48">
        <f t="shared" si="0"/>
        <v>20</v>
      </c>
      <c r="H22" s="75">
        <f>SUM(G22:G24)</f>
        <v>35</v>
      </c>
    </row>
    <row r="23" spans="1:9" ht="15" thickBot="1">
      <c r="A23" s="59" t="s">
        <v>28</v>
      </c>
      <c r="B23" s="51">
        <v>1</v>
      </c>
      <c r="C23" s="51">
        <v>1</v>
      </c>
      <c r="D23" s="51">
        <v>2</v>
      </c>
      <c r="E23" s="51">
        <v>1</v>
      </c>
      <c r="F23" s="51">
        <v>10</v>
      </c>
      <c r="G23" s="52">
        <f t="shared" si="0"/>
        <v>15</v>
      </c>
      <c r="H23" s="76"/>
    </row>
    <row r="24" spans="1:9" ht="15" thickBot="1">
      <c r="A24" s="15"/>
      <c r="B24" s="1"/>
      <c r="C24" s="1"/>
      <c r="D24" s="1"/>
      <c r="E24" s="1"/>
      <c r="F24" s="1"/>
      <c r="G24" s="77"/>
      <c r="H24" s="77"/>
    </row>
    <row r="25" spans="1:9" ht="15" thickBot="1">
      <c r="A25" s="26" t="s">
        <v>29</v>
      </c>
      <c r="B25" s="21">
        <f>SUM(B2:B23)</f>
        <v>30</v>
      </c>
      <c r="C25" s="22">
        <f>SUM(C2:C23)</f>
        <v>55</v>
      </c>
      <c r="D25" s="22">
        <f>SUM(D2:D23)</f>
        <v>121</v>
      </c>
      <c r="E25" s="23">
        <f>SUM(E2:E23)</f>
        <v>203</v>
      </c>
      <c r="F25" s="24">
        <f>SUM(F2:F23)</f>
        <v>250</v>
      </c>
      <c r="G25" s="16" t="s">
        <v>30</v>
      </c>
      <c r="H25" s="19">
        <f>SUM(G2:G23)</f>
        <v>659</v>
      </c>
    </row>
    <row r="26" spans="1:9" ht="15" thickBot="1">
      <c r="A26" s="25" t="s">
        <v>31</v>
      </c>
      <c r="B26" s="27">
        <f>AVERAGE(B2:B23)</f>
        <v>1.3636363636363635</v>
      </c>
      <c r="C26" s="28">
        <f>AVERAGE(C2:C23)</f>
        <v>2.5</v>
      </c>
      <c r="D26" s="28">
        <f>AVERAGE(D2:D23)</f>
        <v>5.5</v>
      </c>
      <c r="E26" s="29">
        <f>AVERAGE(E2:E23)</f>
        <v>9.2272727272727266</v>
      </c>
      <c r="F26" s="30">
        <f>AVERAGE(F2:F23)</f>
        <v>11.363636363636363</v>
      </c>
      <c r="G26" s="17" t="s">
        <v>32</v>
      </c>
      <c r="H26" s="18">
        <f>SUM(B25*1,C25*2,D25*3,E25*4,F25*5)/H25</f>
        <v>3.8922610015174506</v>
      </c>
    </row>
    <row r="27" spans="1:9" ht="15" thickBot="1">
      <c r="G27" s="31" t="s">
        <v>33</v>
      </c>
      <c r="H27" s="32">
        <f>'SEMANA 37'!H26</f>
        <v>4.0978723404255319</v>
      </c>
      <c r="I27" s="33" t="str">
        <f>_xlfn.CONCAT("", (H26-H27)/H27, "%")</f>
        <v>-0,0501751450087218%</v>
      </c>
    </row>
  </sheetData>
  <mergeCells count="7">
    <mergeCell ref="G24:H24"/>
    <mergeCell ref="H2:H5"/>
    <mergeCell ref="H6:H9"/>
    <mergeCell ref="H10:H13"/>
    <mergeCell ref="H14:H17"/>
    <mergeCell ref="H18:H21"/>
    <mergeCell ref="H22:H23"/>
  </mergeCells>
  <pageMargins left="0.511811024" right="0.511811024" top="0.78740157499999996" bottom="0.78740157499999996" header="0.31496062000000002" footer="0.31496062000000002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2523D-5F24-4F14-AF94-9901004B46F2}">
  <dimension ref="A1:I27"/>
  <sheetViews>
    <sheetView zoomScaleNormal="100" workbookViewId="0">
      <selection activeCell="D6" sqref="D6"/>
    </sheetView>
  </sheetViews>
  <sheetFormatPr defaultRowHeight="14.45"/>
  <cols>
    <col min="1" max="1" width="24.42578125" customWidth="1"/>
    <col min="2" max="2" width="4.140625" bestFit="1" customWidth="1"/>
    <col min="3" max="3" width="7" bestFit="1" customWidth="1"/>
    <col min="4" max="4" width="9.85546875" bestFit="1" customWidth="1"/>
    <col min="5" max="5" width="12.7109375" bestFit="1" customWidth="1"/>
    <col min="6" max="6" width="15.7109375" bestFit="1" customWidth="1"/>
    <col min="7" max="7" width="33.7109375" customWidth="1"/>
    <col min="8" max="8" width="26.85546875" bestFit="1" customWidth="1"/>
    <col min="9" max="9" width="27.7109375" customWidth="1"/>
  </cols>
  <sheetData>
    <row r="1" spans="1:8" ht="15" thickBot="1">
      <c r="B1" s="4" t="s">
        <v>0</v>
      </c>
      <c r="C1" s="5" t="s">
        <v>1</v>
      </c>
      <c r="D1" s="6" t="s">
        <v>2</v>
      </c>
      <c r="E1" s="7" t="s">
        <v>3</v>
      </c>
      <c r="F1" s="8" t="s">
        <v>4</v>
      </c>
      <c r="G1" s="2" t="s">
        <v>5</v>
      </c>
      <c r="H1" s="3" t="s">
        <v>6</v>
      </c>
    </row>
    <row r="2" spans="1:8">
      <c r="A2" s="39" t="s">
        <v>7</v>
      </c>
      <c r="B2" s="40">
        <v>1</v>
      </c>
      <c r="C2" s="40">
        <v>1</v>
      </c>
      <c r="D2" s="40">
        <v>8</v>
      </c>
      <c r="E2" s="40">
        <v>4</v>
      </c>
      <c r="F2" s="40">
        <v>4</v>
      </c>
      <c r="G2" s="41">
        <f>SUM(B2:F2)</f>
        <v>18</v>
      </c>
      <c r="H2" s="78">
        <f>SUM(G2:G5)</f>
        <v>109</v>
      </c>
    </row>
    <row r="3" spans="1:8">
      <c r="A3" s="42" t="s">
        <v>8</v>
      </c>
      <c r="B3" s="34">
        <v>0</v>
      </c>
      <c r="C3" s="34">
        <v>1</v>
      </c>
      <c r="D3" s="34">
        <v>12</v>
      </c>
      <c r="E3" s="34">
        <v>12</v>
      </c>
      <c r="F3" s="34">
        <v>4</v>
      </c>
      <c r="G3" s="35">
        <f>SUM(B3:F3)</f>
        <v>29</v>
      </c>
      <c r="H3" s="79"/>
    </row>
    <row r="4" spans="1:8">
      <c r="A4" s="42" t="s">
        <v>9</v>
      </c>
      <c r="B4" s="34">
        <v>0</v>
      </c>
      <c r="C4" s="34">
        <v>4</v>
      </c>
      <c r="D4" s="34">
        <v>8</v>
      </c>
      <c r="E4" s="34">
        <v>7</v>
      </c>
      <c r="F4" s="34">
        <v>6</v>
      </c>
      <c r="G4" s="35">
        <f t="shared" ref="G4:G23" si="0">SUM(B4:F4)</f>
        <v>25</v>
      </c>
      <c r="H4" s="79"/>
    </row>
    <row r="5" spans="1:8" ht="15" thickBot="1">
      <c r="A5" s="43" t="s">
        <v>10</v>
      </c>
      <c r="B5" s="44">
        <v>3</v>
      </c>
      <c r="C5" s="44">
        <v>9</v>
      </c>
      <c r="D5" s="44">
        <v>15</v>
      </c>
      <c r="E5" s="44">
        <v>8</v>
      </c>
      <c r="F5" s="44">
        <v>2</v>
      </c>
      <c r="G5" s="45">
        <f t="shared" si="0"/>
        <v>37</v>
      </c>
      <c r="H5" s="80"/>
    </row>
    <row r="6" spans="1:8">
      <c r="A6" s="46" t="s">
        <v>11</v>
      </c>
      <c r="B6" s="47">
        <v>2</v>
      </c>
      <c r="C6" s="47">
        <v>0</v>
      </c>
      <c r="D6" s="47">
        <v>2</v>
      </c>
      <c r="E6" s="47">
        <v>4</v>
      </c>
      <c r="F6" s="47">
        <v>11</v>
      </c>
      <c r="G6" s="48">
        <f t="shared" si="0"/>
        <v>19</v>
      </c>
      <c r="H6" s="69">
        <f>SUM(G6:G9)</f>
        <v>116</v>
      </c>
    </row>
    <row r="7" spans="1:8">
      <c r="A7" s="49" t="s">
        <v>12</v>
      </c>
      <c r="B7" s="36">
        <v>0</v>
      </c>
      <c r="C7" s="36">
        <v>0</v>
      </c>
      <c r="D7" s="36">
        <v>8</v>
      </c>
      <c r="E7" s="36">
        <v>21</v>
      </c>
      <c r="F7" s="36">
        <v>9</v>
      </c>
      <c r="G7" s="37">
        <f t="shared" si="0"/>
        <v>38</v>
      </c>
      <c r="H7" s="70"/>
    </row>
    <row r="8" spans="1:8">
      <c r="A8" s="49" t="s">
        <v>13</v>
      </c>
      <c r="B8" s="36">
        <v>2</v>
      </c>
      <c r="C8" s="36">
        <v>0</v>
      </c>
      <c r="D8" s="36">
        <v>2</v>
      </c>
      <c r="E8" s="36">
        <v>6</v>
      </c>
      <c r="F8" s="36">
        <v>12</v>
      </c>
      <c r="G8" s="37">
        <f t="shared" si="0"/>
        <v>22</v>
      </c>
      <c r="H8" s="70"/>
    </row>
    <row r="9" spans="1:8" ht="15" thickBot="1">
      <c r="A9" s="50" t="s">
        <v>14</v>
      </c>
      <c r="B9" s="51">
        <v>0</v>
      </c>
      <c r="C9" s="51">
        <v>0</v>
      </c>
      <c r="D9" s="51">
        <v>5</v>
      </c>
      <c r="E9" s="51">
        <v>19</v>
      </c>
      <c r="F9" s="51">
        <v>13</v>
      </c>
      <c r="G9" s="52">
        <f t="shared" si="0"/>
        <v>37</v>
      </c>
      <c r="H9" s="71"/>
    </row>
    <row r="10" spans="1:8">
      <c r="A10" s="53" t="s">
        <v>15</v>
      </c>
      <c r="B10" s="54">
        <v>0</v>
      </c>
      <c r="C10" s="54">
        <v>3</v>
      </c>
      <c r="D10" s="54">
        <v>5</v>
      </c>
      <c r="E10" s="54">
        <v>11</v>
      </c>
      <c r="F10" s="54">
        <v>7</v>
      </c>
      <c r="G10" s="41">
        <f t="shared" si="0"/>
        <v>26</v>
      </c>
      <c r="H10" s="72">
        <f>SUM(G10:G13)</f>
        <v>151</v>
      </c>
    </row>
    <row r="11" spans="1:8">
      <c r="A11" s="55" t="s">
        <v>16</v>
      </c>
      <c r="B11" s="38">
        <v>2</v>
      </c>
      <c r="C11" s="38">
        <v>6</v>
      </c>
      <c r="D11" s="38">
        <v>5</v>
      </c>
      <c r="E11" s="38">
        <v>28</v>
      </c>
      <c r="F11" s="38">
        <v>20</v>
      </c>
      <c r="G11" s="35">
        <f t="shared" si="0"/>
        <v>61</v>
      </c>
      <c r="H11" s="73"/>
    </row>
    <row r="12" spans="1:8">
      <c r="A12" s="55" t="s">
        <v>17</v>
      </c>
      <c r="B12" s="38">
        <v>0</v>
      </c>
      <c r="C12" s="38">
        <v>0</v>
      </c>
      <c r="D12" s="38">
        <v>2</v>
      </c>
      <c r="E12" s="38">
        <v>5</v>
      </c>
      <c r="F12" s="38">
        <v>15</v>
      </c>
      <c r="G12" s="35">
        <f t="shared" si="0"/>
        <v>22</v>
      </c>
      <c r="H12" s="73"/>
    </row>
    <row r="13" spans="1:8" ht="15" thickBot="1">
      <c r="A13" s="56" t="s">
        <v>18</v>
      </c>
      <c r="B13" s="57">
        <v>0</v>
      </c>
      <c r="C13" s="57">
        <v>1</v>
      </c>
      <c r="D13" s="57">
        <v>2</v>
      </c>
      <c r="E13" s="57">
        <v>4</v>
      </c>
      <c r="F13" s="57">
        <v>35</v>
      </c>
      <c r="G13" s="45">
        <f t="shared" si="0"/>
        <v>42</v>
      </c>
      <c r="H13" s="74"/>
    </row>
    <row r="14" spans="1:8">
      <c r="A14" s="46" t="s">
        <v>19</v>
      </c>
      <c r="B14" s="47">
        <v>3</v>
      </c>
      <c r="C14" s="47">
        <v>1</v>
      </c>
      <c r="D14" s="47">
        <v>0</v>
      </c>
      <c r="E14" s="47">
        <v>11</v>
      </c>
      <c r="F14" s="47">
        <v>4</v>
      </c>
      <c r="G14" s="48">
        <f t="shared" si="0"/>
        <v>19</v>
      </c>
      <c r="H14" s="69">
        <f>SUM(G14:G17)</f>
        <v>85</v>
      </c>
    </row>
    <row r="15" spans="1:8">
      <c r="A15" s="49" t="s">
        <v>20</v>
      </c>
      <c r="B15" s="36">
        <v>1</v>
      </c>
      <c r="C15" s="36">
        <v>0</v>
      </c>
      <c r="D15" s="36">
        <v>3</v>
      </c>
      <c r="E15" s="36">
        <v>11</v>
      </c>
      <c r="F15" s="36">
        <v>1</v>
      </c>
      <c r="G15" s="37">
        <f t="shared" si="0"/>
        <v>16</v>
      </c>
      <c r="H15" s="70"/>
    </row>
    <row r="16" spans="1:8">
      <c r="A16" s="49" t="s">
        <v>21</v>
      </c>
      <c r="B16" s="36">
        <v>1</v>
      </c>
      <c r="C16" s="36">
        <v>3</v>
      </c>
      <c r="D16" s="36">
        <v>6</v>
      </c>
      <c r="E16" s="36">
        <v>8</v>
      </c>
      <c r="F16" s="36">
        <v>4</v>
      </c>
      <c r="G16" s="37">
        <f t="shared" si="0"/>
        <v>22</v>
      </c>
      <c r="H16" s="70"/>
    </row>
    <row r="17" spans="1:9" ht="15" thickBot="1">
      <c r="A17" s="50" t="s">
        <v>22</v>
      </c>
      <c r="B17" s="51">
        <v>2</v>
      </c>
      <c r="C17" s="51">
        <v>9</v>
      </c>
      <c r="D17" s="51">
        <v>11</v>
      </c>
      <c r="E17" s="51">
        <v>6</v>
      </c>
      <c r="F17" s="51">
        <v>0</v>
      </c>
      <c r="G17" s="52">
        <f t="shared" si="0"/>
        <v>28</v>
      </c>
      <c r="H17" s="71"/>
    </row>
    <row r="18" spans="1:9">
      <c r="A18" s="53" t="s">
        <v>23</v>
      </c>
      <c r="B18" s="54">
        <v>2</v>
      </c>
      <c r="C18" s="54">
        <v>1</v>
      </c>
      <c r="D18" s="54">
        <v>8</v>
      </c>
      <c r="E18" s="54">
        <v>11</v>
      </c>
      <c r="F18" s="54">
        <v>4</v>
      </c>
      <c r="G18" s="41">
        <f t="shared" si="0"/>
        <v>26</v>
      </c>
      <c r="H18" s="72">
        <f>SUM(G18:G21)</f>
        <v>87</v>
      </c>
    </row>
    <row r="19" spans="1:9">
      <c r="A19" s="55" t="s">
        <v>24</v>
      </c>
      <c r="B19" s="38">
        <v>1</v>
      </c>
      <c r="C19" s="38">
        <v>3</v>
      </c>
      <c r="D19" s="38">
        <v>5</v>
      </c>
      <c r="E19" s="38">
        <v>9</v>
      </c>
      <c r="F19" s="38">
        <v>3</v>
      </c>
      <c r="G19" s="35">
        <f t="shared" si="0"/>
        <v>21</v>
      </c>
      <c r="H19" s="73"/>
    </row>
    <row r="20" spans="1:9">
      <c r="A20" s="55" t="s">
        <v>25</v>
      </c>
      <c r="B20" s="38">
        <v>6</v>
      </c>
      <c r="C20" s="38">
        <v>1</v>
      </c>
      <c r="D20" s="38">
        <v>7</v>
      </c>
      <c r="E20" s="38">
        <v>4</v>
      </c>
      <c r="F20" s="38">
        <v>4</v>
      </c>
      <c r="G20" s="35">
        <f t="shared" si="0"/>
        <v>22</v>
      </c>
      <c r="H20" s="73"/>
    </row>
    <row r="21" spans="1:9" ht="15" thickBot="1">
      <c r="A21" s="56" t="s">
        <v>26</v>
      </c>
      <c r="B21" s="57">
        <v>7</v>
      </c>
      <c r="C21" s="57">
        <v>2</v>
      </c>
      <c r="D21" s="57">
        <v>4</v>
      </c>
      <c r="E21" s="57">
        <v>3</v>
      </c>
      <c r="F21" s="57">
        <v>2</v>
      </c>
      <c r="G21" s="45">
        <f t="shared" si="0"/>
        <v>18</v>
      </c>
      <c r="H21" s="74"/>
    </row>
    <row r="22" spans="1:9">
      <c r="A22" s="58" t="s">
        <v>27</v>
      </c>
      <c r="B22" s="47">
        <v>1</v>
      </c>
      <c r="C22" s="47">
        <v>0</v>
      </c>
      <c r="D22" s="47">
        <v>1</v>
      </c>
      <c r="E22" s="47">
        <v>3</v>
      </c>
      <c r="F22" s="47">
        <v>5</v>
      </c>
      <c r="G22" s="48">
        <f t="shared" si="0"/>
        <v>10</v>
      </c>
      <c r="H22" s="75">
        <f>SUM(G22:G24)</f>
        <v>21</v>
      </c>
    </row>
    <row r="23" spans="1:9" ht="15" thickBot="1">
      <c r="A23" s="59" t="s">
        <v>28</v>
      </c>
      <c r="B23" s="51">
        <v>1</v>
      </c>
      <c r="C23" s="51">
        <v>1</v>
      </c>
      <c r="D23" s="51">
        <v>0</v>
      </c>
      <c r="E23" s="51">
        <v>6</v>
      </c>
      <c r="F23" s="51">
        <v>3</v>
      </c>
      <c r="G23" s="52">
        <f t="shared" si="0"/>
        <v>11</v>
      </c>
      <c r="H23" s="76"/>
    </row>
    <row r="24" spans="1:9" ht="15" thickBot="1">
      <c r="A24" s="15"/>
      <c r="B24" s="1"/>
      <c r="C24" s="1"/>
      <c r="D24" s="1"/>
      <c r="E24" s="1"/>
      <c r="F24" s="1"/>
      <c r="G24" s="77"/>
      <c r="H24" s="77"/>
    </row>
    <row r="25" spans="1:9" ht="15" thickBot="1">
      <c r="A25" s="26" t="s">
        <v>29</v>
      </c>
      <c r="B25" s="21">
        <f>SUM(B2:B23)</f>
        <v>35</v>
      </c>
      <c r="C25" s="22">
        <f>SUM(C2:C23)</f>
        <v>46</v>
      </c>
      <c r="D25" s="22">
        <f>SUM(D2:D23)</f>
        <v>119</v>
      </c>
      <c r="E25" s="23">
        <f>SUM(E2:E23)</f>
        <v>201</v>
      </c>
      <c r="F25" s="24">
        <f>SUM(F2:F23)</f>
        <v>168</v>
      </c>
      <c r="G25" s="16" t="s">
        <v>30</v>
      </c>
      <c r="H25" s="19">
        <f>SUM(G2:G23)</f>
        <v>569</v>
      </c>
    </row>
    <row r="26" spans="1:9" ht="15" thickBot="1">
      <c r="A26" s="25" t="s">
        <v>31</v>
      </c>
      <c r="B26" s="27">
        <f>AVERAGE(B2:B23)</f>
        <v>1.5909090909090908</v>
      </c>
      <c r="C26" s="28">
        <f>AVERAGE(C2:C23)</f>
        <v>2.0909090909090908</v>
      </c>
      <c r="D26" s="28">
        <f>AVERAGE(D2:D23)</f>
        <v>5.4090909090909092</v>
      </c>
      <c r="E26" s="29">
        <f>AVERAGE(E2:E23)</f>
        <v>9.1363636363636367</v>
      </c>
      <c r="F26" s="30">
        <f>AVERAGE(F2:F23)</f>
        <v>7.6363636363636367</v>
      </c>
      <c r="G26" s="17" t="s">
        <v>32</v>
      </c>
      <c r="H26" s="18">
        <f>SUM(B25*1,C25*2,D25*3,E25*4,F25*5)/H25</f>
        <v>3.7398945518453428</v>
      </c>
    </row>
    <row r="27" spans="1:9" ht="15" thickBot="1">
      <c r="G27" s="31" t="s">
        <v>33</v>
      </c>
      <c r="H27" s="32">
        <f>'SEMANA 38'!H26</f>
        <v>3.8922610015174506</v>
      </c>
      <c r="I27" s="33" t="str">
        <f>_xlfn.CONCAT("", (H26-H27)/H27, "%")</f>
        <v>-0,0391460001301829%</v>
      </c>
    </row>
  </sheetData>
  <mergeCells count="7">
    <mergeCell ref="G24:H24"/>
    <mergeCell ref="H2:H5"/>
    <mergeCell ref="H6:H9"/>
    <mergeCell ref="H10:H13"/>
    <mergeCell ref="H14:H17"/>
    <mergeCell ref="H18:H21"/>
    <mergeCell ref="H22:H23"/>
  </mergeCells>
  <pageMargins left="0.511811024" right="0.511811024" top="0.78740157499999996" bottom="0.78740157499999996" header="0.31496062000000002" footer="0.31496062000000002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8340E-C274-4900-B222-3139DF8EE6FE}">
  <dimension ref="A1:I27"/>
  <sheetViews>
    <sheetView zoomScaleNormal="100" workbookViewId="0">
      <selection activeCell="B3" sqref="B3:F3 B5:F5 B7:F7 B9:F9 B11:F11 B13:F13 B15:F15 B17:F17 B19:F19 B21:F21 B23:F23"/>
    </sheetView>
  </sheetViews>
  <sheetFormatPr defaultRowHeight="14.45"/>
  <cols>
    <col min="1" max="1" width="24.42578125" customWidth="1"/>
    <col min="2" max="2" width="4.140625" bestFit="1" customWidth="1"/>
    <col min="3" max="3" width="7" bestFit="1" customWidth="1"/>
    <col min="4" max="4" width="9.85546875" bestFit="1" customWidth="1"/>
    <col min="5" max="5" width="12.7109375" bestFit="1" customWidth="1"/>
    <col min="6" max="6" width="15.7109375" bestFit="1" customWidth="1"/>
    <col min="7" max="7" width="33.7109375" customWidth="1"/>
    <col min="8" max="8" width="26.85546875" bestFit="1" customWidth="1"/>
    <col min="9" max="9" width="27.7109375" customWidth="1"/>
  </cols>
  <sheetData>
    <row r="1" spans="1:8" ht="15" thickBot="1">
      <c r="B1" s="4" t="s">
        <v>0</v>
      </c>
      <c r="C1" s="5" t="s">
        <v>1</v>
      </c>
      <c r="D1" s="6" t="s">
        <v>2</v>
      </c>
      <c r="E1" s="7" t="s">
        <v>3</v>
      </c>
      <c r="F1" s="8" t="s">
        <v>4</v>
      </c>
      <c r="G1" s="2" t="s">
        <v>5</v>
      </c>
      <c r="H1" s="3" t="s">
        <v>6</v>
      </c>
    </row>
    <row r="2" spans="1:8">
      <c r="A2" s="39" t="s">
        <v>7</v>
      </c>
      <c r="B2" s="40">
        <v>0</v>
      </c>
      <c r="C2" s="40">
        <v>0</v>
      </c>
      <c r="D2" s="40">
        <v>4</v>
      </c>
      <c r="E2" s="40">
        <v>9</v>
      </c>
      <c r="F2" s="40">
        <v>6</v>
      </c>
      <c r="G2" s="41">
        <f>SUM(B2:F2)</f>
        <v>19</v>
      </c>
      <c r="H2" s="78">
        <f>SUM(G2:G5)</f>
        <v>128</v>
      </c>
    </row>
    <row r="3" spans="1:8">
      <c r="A3" s="42" t="s">
        <v>8</v>
      </c>
      <c r="B3" s="34">
        <v>0</v>
      </c>
      <c r="C3" s="34">
        <v>0</v>
      </c>
      <c r="D3" s="34">
        <v>3</v>
      </c>
      <c r="E3" s="34">
        <v>17</v>
      </c>
      <c r="F3" s="34">
        <v>31</v>
      </c>
      <c r="G3" s="35">
        <f>SUM(B3:F3)</f>
        <v>51</v>
      </c>
      <c r="H3" s="79"/>
    </row>
    <row r="4" spans="1:8">
      <c r="A4" s="42" t="s">
        <v>9</v>
      </c>
      <c r="B4" s="34">
        <v>0</v>
      </c>
      <c r="C4" s="34">
        <v>0</v>
      </c>
      <c r="D4" s="34">
        <v>3</v>
      </c>
      <c r="E4" s="34">
        <v>6</v>
      </c>
      <c r="F4" s="34">
        <v>16</v>
      </c>
      <c r="G4" s="35">
        <f t="shared" ref="G4:G23" si="0">SUM(B4:F4)</f>
        <v>25</v>
      </c>
      <c r="H4" s="79"/>
    </row>
    <row r="5" spans="1:8" ht="15" thickBot="1">
      <c r="A5" s="43" t="s">
        <v>10</v>
      </c>
      <c r="B5" s="44">
        <v>0</v>
      </c>
      <c r="C5" s="44">
        <v>0</v>
      </c>
      <c r="D5" s="44">
        <v>3</v>
      </c>
      <c r="E5" s="44">
        <v>11</v>
      </c>
      <c r="F5" s="44">
        <v>19</v>
      </c>
      <c r="G5" s="45">
        <f t="shared" si="0"/>
        <v>33</v>
      </c>
      <c r="H5" s="80"/>
    </row>
    <row r="6" spans="1:8">
      <c r="A6" s="46" t="s">
        <v>11</v>
      </c>
      <c r="B6" s="47">
        <v>0</v>
      </c>
      <c r="C6" s="47">
        <v>2</v>
      </c>
      <c r="D6" s="47">
        <v>1</v>
      </c>
      <c r="E6" s="47">
        <v>9</v>
      </c>
      <c r="F6" s="47">
        <v>3</v>
      </c>
      <c r="G6" s="48">
        <f t="shared" si="0"/>
        <v>15</v>
      </c>
      <c r="H6" s="69">
        <f>SUM(G6:G9)</f>
        <v>110</v>
      </c>
    </row>
    <row r="7" spans="1:8">
      <c r="A7" s="49" t="s">
        <v>12</v>
      </c>
      <c r="B7" s="36">
        <v>1</v>
      </c>
      <c r="C7" s="36">
        <v>1</v>
      </c>
      <c r="D7" s="36">
        <v>2</v>
      </c>
      <c r="E7" s="36">
        <v>16</v>
      </c>
      <c r="F7" s="36">
        <v>13</v>
      </c>
      <c r="G7" s="37">
        <f t="shared" si="0"/>
        <v>33</v>
      </c>
      <c r="H7" s="70"/>
    </row>
    <row r="8" spans="1:8">
      <c r="A8" s="49" t="s">
        <v>13</v>
      </c>
      <c r="B8" s="36">
        <v>0</v>
      </c>
      <c r="C8" s="36">
        <v>2</v>
      </c>
      <c r="D8" s="36">
        <v>1</v>
      </c>
      <c r="E8" s="36">
        <v>3</v>
      </c>
      <c r="F8" s="36">
        <v>23</v>
      </c>
      <c r="G8" s="37">
        <f t="shared" si="0"/>
        <v>29</v>
      </c>
      <c r="H8" s="70"/>
    </row>
    <row r="9" spans="1:8" ht="15" thickBot="1">
      <c r="A9" s="50" t="s">
        <v>14</v>
      </c>
      <c r="B9" s="51">
        <v>0</v>
      </c>
      <c r="C9" s="51">
        <v>0</v>
      </c>
      <c r="D9" s="51">
        <v>2</v>
      </c>
      <c r="E9" s="51">
        <v>13</v>
      </c>
      <c r="F9" s="51">
        <v>18</v>
      </c>
      <c r="G9" s="52">
        <f t="shared" si="0"/>
        <v>33</v>
      </c>
      <c r="H9" s="71"/>
    </row>
    <row r="10" spans="1:8">
      <c r="A10" s="53" t="s">
        <v>15</v>
      </c>
      <c r="B10" s="54">
        <v>0</v>
      </c>
      <c r="C10" s="54">
        <v>0</v>
      </c>
      <c r="D10" s="54">
        <v>2</v>
      </c>
      <c r="E10" s="54">
        <v>9</v>
      </c>
      <c r="F10" s="54">
        <v>15</v>
      </c>
      <c r="G10" s="41">
        <f t="shared" si="0"/>
        <v>26</v>
      </c>
      <c r="H10" s="72">
        <f>SUM(G10:G13)</f>
        <v>119</v>
      </c>
    </row>
    <row r="11" spans="1:8">
      <c r="A11" s="55" t="s">
        <v>16</v>
      </c>
      <c r="B11" s="38">
        <v>0</v>
      </c>
      <c r="C11" s="38">
        <v>1</v>
      </c>
      <c r="D11" s="38">
        <v>1</v>
      </c>
      <c r="E11" s="38">
        <v>11</v>
      </c>
      <c r="F11" s="38">
        <v>19</v>
      </c>
      <c r="G11" s="35">
        <f t="shared" si="0"/>
        <v>32</v>
      </c>
      <c r="H11" s="73"/>
    </row>
    <row r="12" spans="1:8">
      <c r="A12" s="55" t="s">
        <v>17</v>
      </c>
      <c r="B12" s="38">
        <v>0</v>
      </c>
      <c r="C12" s="38">
        <v>3</v>
      </c>
      <c r="D12" s="38">
        <v>2</v>
      </c>
      <c r="E12" s="38">
        <v>6</v>
      </c>
      <c r="F12" s="38">
        <v>13</v>
      </c>
      <c r="G12" s="35">
        <f t="shared" si="0"/>
        <v>24</v>
      </c>
      <c r="H12" s="73"/>
    </row>
    <row r="13" spans="1:8" ht="15" thickBot="1">
      <c r="A13" s="56" t="s">
        <v>18</v>
      </c>
      <c r="B13" s="57">
        <v>0</v>
      </c>
      <c r="C13" s="57">
        <v>0</v>
      </c>
      <c r="D13" s="57">
        <v>7</v>
      </c>
      <c r="E13" s="57">
        <v>5</v>
      </c>
      <c r="F13" s="57">
        <v>25</v>
      </c>
      <c r="G13" s="45">
        <f t="shared" si="0"/>
        <v>37</v>
      </c>
      <c r="H13" s="74"/>
    </row>
    <row r="14" spans="1:8">
      <c r="A14" s="46" t="s">
        <v>19</v>
      </c>
      <c r="B14" s="47">
        <v>1</v>
      </c>
      <c r="C14" s="47">
        <v>0</v>
      </c>
      <c r="D14" s="47">
        <v>10</v>
      </c>
      <c r="E14" s="47">
        <v>12</v>
      </c>
      <c r="F14" s="47">
        <v>3</v>
      </c>
      <c r="G14" s="48">
        <f t="shared" si="0"/>
        <v>26</v>
      </c>
      <c r="H14" s="69">
        <f>SUM(G14:G17)</f>
        <v>122</v>
      </c>
    </row>
    <row r="15" spans="1:8">
      <c r="A15" s="49" t="s">
        <v>20</v>
      </c>
      <c r="B15" s="36">
        <v>2</v>
      </c>
      <c r="C15" s="36">
        <v>5</v>
      </c>
      <c r="D15" s="36">
        <v>7</v>
      </c>
      <c r="E15" s="36">
        <v>9</v>
      </c>
      <c r="F15" s="36">
        <v>16</v>
      </c>
      <c r="G15" s="37">
        <f t="shared" si="0"/>
        <v>39</v>
      </c>
      <c r="H15" s="70"/>
    </row>
    <row r="16" spans="1:8">
      <c r="A16" s="49" t="s">
        <v>21</v>
      </c>
      <c r="B16" s="36">
        <v>1</v>
      </c>
      <c r="C16" s="36">
        <v>1</v>
      </c>
      <c r="D16" s="36">
        <v>2</v>
      </c>
      <c r="E16" s="36">
        <v>6</v>
      </c>
      <c r="F16" s="36">
        <v>19</v>
      </c>
      <c r="G16" s="37">
        <f t="shared" si="0"/>
        <v>29</v>
      </c>
      <c r="H16" s="70"/>
    </row>
    <row r="17" spans="1:9" ht="15" thickBot="1">
      <c r="A17" s="50" t="s">
        <v>22</v>
      </c>
      <c r="B17" s="51">
        <v>4</v>
      </c>
      <c r="C17" s="51">
        <v>0</v>
      </c>
      <c r="D17" s="51">
        <v>2</v>
      </c>
      <c r="E17" s="51">
        <v>5</v>
      </c>
      <c r="F17" s="51">
        <v>17</v>
      </c>
      <c r="G17" s="52">
        <f t="shared" si="0"/>
        <v>28</v>
      </c>
      <c r="H17" s="71"/>
    </row>
    <row r="18" spans="1:9">
      <c r="A18" s="53" t="s">
        <v>23</v>
      </c>
      <c r="B18" s="54">
        <v>1</v>
      </c>
      <c r="C18" s="54">
        <v>1</v>
      </c>
      <c r="D18" s="54">
        <v>2</v>
      </c>
      <c r="E18" s="54">
        <v>9</v>
      </c>
      <c r="F18" s="54">
        <v>16</v>
      </c>
      <c r="G18" s="41">
        <f t="shared" si="0"/>
        <v>29</v>
      </c>
      <c r="H18" s="72">
        <f>SUM(G18:G21)</f>
        <v>89</v>
      </c>
    </row>
    <row r="19" spans="1:9">
      <c r="A19" s="55" t="s">
        <v>24</v>
      </c>
      <c r="B19" s="38">
        <v>0</v>
      </c>
      <c r="C19" s="38">
        <v>2</v>
      </c>
      <c r="D19" s="38">
        <v>5</v>
      </c>
      <c r="E19" s="38">
        <v>3</v>
      </c>
      <c r="F19" s="38">
        <v>18</v>
      </c>
      <c r="G19" s="35">
        <f t="shared" si="0"/>
        <v>28</v>
      </c>
      <c r="H19" s="73"/>
    </row>
    <row r="20" spans="1:9">
      <c r="A20" s="55" t="s">
        <v>25</v>
      </c>
      <c r="B20" s="38">
        <v>2</v>
      </c>
      <c r="C20" s="38">
        <v>3</v>
      </c>
      <c r="D20" s="38">
        <v>3</v>
      </c>
      <c r="E20" s="38">
        <v>3</v>
      </c>
      <c r="F20" s="38">
        <v>1</v>
      </c>
      <c r="G20" s="35">
        <f t="shared" si="0"/>
        <v>12</v>
      </c>
      <c r="H20" s="73"/>
    </row>
    <row r="21" spans="1:9" ht="15" thickBot="1">
      <c r="A21" s="56" t="s">
        <v>26</v>
      </c>
      <c r="B21" s="57">
        <v>3</v>
      </c>
      <c r="C21" s="57">
        <v>6</v>
      </c>
      <c r="D21" s="57">
        <v>2</v>
      </c>
      <c r="E21" s="57">
        <v>5</v>
      </c>
      <c r="F21" s="57">
        <v>4</v>
      </c>
      <c r="G21" s="45">
        <f t="shared" si="0"/>
        <v>20</v>
      </c>
      <c r="H21" s="74"/>
    </row>
    <row r="22" spans="1:9">
      <c r="A22" s="58" t="s">
        <v>27</v>
      </c>
      <c r="B22" s="47">
        <v>0</v>
      </c>
      <c r="C22" s="47">
        <v>0</v>
      </c>
      <c r="D22" s="47">
        <v>0</v>
      </c>
      <c r="E22" s="47">
        <v>0</v>
      </c>
      <c r="F22" s="47">
        <v>0</v>
      </c>
      <c r="G22" s="48">
        <f t="shared" si="0"/>
        <v>0</v>
      </c>
      <c r="H22" s="75">
        <f>SUM(G22:G24)</f>
        <v>0</v>
      </c>
    </row>
    <row r="23" spans="1:9" ht="15" thickBot="1">
      <c r="A23" s="59" t="s">
        <v>28</v>
      </c>
      <c r="B23" s="51">
        <v>0</v>
      </c>
      <c r="C23" s="51">
        <v>0</v>
      </c>
      <c r="D23" s="51">
        <v>0</v>
      </c>
      <c r="E23" s="51">
        <v>0</v>
      </c>
      <c r="F23" s="51">
        <v>0</v>
      </c>
      <c r="G23" s="52">
        <f t="shared" si="0"/>
        <v>0</v>
      </c>
      <c r="H23" s="76"/>
    </row>
    <row r="24" spans="1:9" ht="15" thickBot="1">
      <c r="A24" s="15"/>
      <c r="B24" s="1"/>
      <c r="C24" s="1"/>
      <c r="D24" s="1"/>
      <c r="E24" s="1"/>
      <c r="F24" s="1"/>
      <c r="G24" s="77"/>
      <c r="H24" s="77"/>
    </row>
    <row r="25" spans="1:9" ht="15" thickBot="1">
      <c r="A25" s="26" t="s">
        <v>29</v>
      </c>
      <c r="B25" s="21">
        <f>SUM(B2:B23)</f>
        <v>15</v>
      </c>
      <c r="C25" s="22">
        <f>SUM(C2:C23)</f>
        <v>27</v>
      </c>
      <c r="D25" s="22">
        <f>SUM(D2:D23)</f>
        <v>64</v>
      </c>
      <c r="E25" s="23">
        <f>SUM(E2:E23)</f>
        <v>167</v>
      </c>
      <c r="F25" s="24">
        <f>SUM(F2:F23)</f>
        <v>295</v>
      </c>
      <c r="G25" s="16" t="s">
        <v>30</v>
      </c>
      <c r="H25" s="19">
        <f>SUM(G2:G23)</f>
        <v>568</v>
      </c>
    </row>
    <row r="26" spans="1:9" ht="15" thickBot="1">
      <c r="A26" s="25" t="s">
        <v>31</v>
      </c>
      <c r="B26" s="27">
        <f>AVERAGE(B2:B23)</f>
        <v>0.68181818181818177</v>
      </c>
      <c r="C26" s="28">
        <f>AVERAGE(C2:C23)</f>
        <v>1.2272727272727273</v>
      </c>
      <c r="D26" s="28">
        <f>AVERAGE(D2:D23)</f>
        <v>2.9090909090909092</v>
      </c>
      <c r="E26" s="29">
        <f>AVERAGE(E2:E23)</f>
        <v>7.5909090909090908</v>
      </c>
      <c r="F26" s="30">
        <f>AVERAGE(F2:F23)</f>
        <v>13.409090909090908</v>
      </c>
      <c r="G26" s="17" t="s">
        <v>32</v>
      </c>
      <c r="H26" s="18">
        <f>SUM(B25*1,C25*2,D25*3,E25*4,F25*5)/H25</f>
        <v>4.232394366197183</v>
      </c>
    </row>
    <row r="27" spans="1:9" ht="15" thickBot="1">
      <c r="G27" s="31" t="s">
        <v>33</v>
      </c>
      <c r="H27" s="32">
        <f>'SEMANA 39'!H26</f>
        <v>3.7398945518453428</v>
      </c>
      <c r="I27" s="33" t="str">
        <f>_xlfn.CONCAT("", (H26-H27)/H27, "%")</f>
        <v>0,131688155247273%</v>
      </c>
    </row>
  </sheetData>
  <mergeCells count="7">
    <mergeCell ref="G24:H24"/>
    <mergeCell ref="H2:H5"/>
    <mergeCell ref="H6:H9"/>
    <mergeCell ref="H10:H13"/>
    <mergeCell ref="H14:H17"/>
    <mergeCell ref="H18:H21"/>
    <mergeCell ref="H22:H23"/>
  </mergeCells>
  <pageMargins left="0.511811024" right="0.511811024" top="0.78740157499999996" bottom="0.78740157499999996" header="0.31496062000000002" footer="0.31496062000000002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5F4C6-5CD0-4295-BCE4-0F2A4A1A123F}">
  <dimension ref="A1:I27"/>
  <sheetViews>
    <sheetView zoomScaleNormal="100" workbookViewId="0">
      <selection activeCell="G17" sqref="G17"/>
    </sheetView>
  </sheetViews>
  <sheetFormatPr defaultRowHeight="14.45"/>
  <cols>
    <col min="1" max="1" width="24.42578125" customWidth="1"/>
    <col min="2" max="2" width="4.140625" bestFit="1" customWidth="1"/>
    <col min="3" max="3" width="7" bestFit="1" customWidth="1"/>
    <col min="4" max="4" width="9.85546875" bestFit="1" customWidth="1"/>
    <col min="5" max="5" width="12.7109375" bestFit="1" customWidth="1"/>
    <col min="6" max="6" width="15.7109375" bestFit="1" customWidth="1"/>
    <col min="7" max="7" width="33.7109375" customWidth="1"/>
    <col min="8" max="8" width="26.85546875" bestFit="1" customWidth="1"/>
    <col min="9" max="9" width="27.7109375" customWidth="1"/>
  </cols>
  <sheetData>
    <row r="1" spans="1:8" ht="15" thickBot="1">
      <c r="B1" s="4" t="s">
        <v>0</v>
      </c>
      <c r="C1" s="5" t="s">
        <v>1</v>
      </c>
      <c r="D1" s="6" t="s">
        <v>2</v>
      </c>
      <c r="E1" s="7" t="s">
        <v>3</v>
      </c>
      <c r="F1" s="8" t="s">
        <v>4</v>
      </c>
      <c r="G1" s="2" t="s">
        <v>5</v>
      </c>
      <c r="H1" s="3" t="s">
        <v>6</v>
      </c>
    </row>
    <row r="2" spans="1:8">
      <c r="A2" s="39" t="s">
        <v>7</v>
      </c>
      <c r="B2" s="40">
        <v>1</v>
      </c>
      <c r="C2" s="40">
        <v>3</v>
      </c>
      <c r="D2" s="40">
        <v>14</v>
      </c>
      <c r="E2" s="40">
        <v>8</v>
      </c>
      <c r="F2" s="40">
        <v>1</v>
      </c>
      <c r="G2" s="41">
        <f>SUM(B2:F2)</f>
        <v>27</v>
      </c>
      <c r="H2" s="78">
        <f>SUM(G2:G5)</f>
        <v>106</v>
      </c>
    </row>
    <row r="3" spans="1:8">
      <c r="A3" s="42" t="s">
        <v>8</v>
      </c>
      <c r="B3" s="34">
        <v>0</v>
      </c>
      <c r="C3" s="34">
        <v>6</v>
      </c>
      <c r="D3" s="34">
        <v>13</v>
      </c>
      <c r="E3" s="34">
        <v>5</v>
      </c>
      <c r="F3" s="34">
        <v>3</v>
      </c>
      <c r="G3" s="35">
        <f>SUM(B3:F3)</f>
        <v>27</v>
      </c>
      <c r="H3" s="79"/>
    </row>
    <row r="4" spans="1:8">
      <c r="A4" s="42" t="s">
        <v>9</v>
      </c>
      <c r="B4" s="34">
        <v>6</v>
      </c>
      <c r="C4" s="34">
        <v>0</v>
      </c>
      <c r="D4" s="34">
        <v>6</v>
      </c>
      <c r="E4" s="34">
        <v>7</v>
      </c>
      <c r="F4" s="34">
        <v>7</v>
      </c>
      <c r="G4" s="35">
        <f t="shared" ref="G4:G23" si="0">SUM(B4:F4)</f>
        <v>26</v>
      </c>
      <c r="H4" s="79"/>
    </row>
    <row r="5" spans="1:8" ht="15" thickBot="1">
      <c r="A5" s="43" t="s">
        <v>10</v>
      </c>
      <c r="B5" s="44">
        <v>0</v>
      </c>
      <c r="C5" s="44">
        <v>1</v>
      </c>
      <c r="D5" s="44">
        <v>5</v>
      </c>
      <c r="E5" s="44">
        <v>16</v>
      </c>
      <c r="F5" s="44">
        <v>4</v>
      </c>
      <c r="G5" s="45">
        <f t="shared" si="0"/>
        <v>26</v>
      </c>
      <c r="H5" s="80"/>
    </row>
    <row r="6" spans="1:8">
      <c r="A6" s="46" t="s">
        <v>11</v>
      </c>
      <c r="B6" s="47">
        <v>1</v>
      </c>
      <c r="C6" s="47">
        <v>2</v>
      </c>
      <c r="D6" s="47">
        <v>4</v>
      </c>
      <c r="E6" s="47">
        <v>2</v>
      </c>
      <c r="F6" s="47">
        <v>5</v>
      </c>
      <c r="G6" s="48">
        <f t="shared" si="0"/>
        <v>14</v>
      </c>
      <c r="H6" s="69">
        <f>SUM(G6:G9)</f>
        <v>106</v>
      </c>
    </row>
    <row r="7" spans="1:8">
      <c r="A7" s="49" t="s">
        <v>12</v>
      </c>
      <c r="B7" s="36">
        <v>14</v>
      </c>
      <c r="C7" s="36">
        <v>6</v>
      </c>
      <c r="D7" s="36">
        <v>2</v>
      </c>
      <c r="E7" s="36">
        <v>4</v>
      </c>
      <c r="F7" s="36">
        <v>4</v>
      </c>
      <c r="G7" s="37">
        <f t="shared" si="0"/>
        <v>30</v>
      </c>
      <c r="H7" s="70"/>
    </row>
    <row r="8" spans="1:8">
      <c r="A8" s="49" t="s">
        <v>13</v>
      </c>
      <c r="B8" s="36">
        <v>1</v>
      </c>
      <c r="C8" s="36">
        <v>1</v>
      </c>
      <c r="D8" s="36">
        <v>1</v>
      </c>
      <c r="E8" s="36">
        <v>8</v>
      </c>
      <c r="F8" s="36">
        <v>15</v>
      </c>
      <c r="G8" s="37">
        <f t="shared" si="0"/>
        <v>26</v>
      </c>
      <c r="H8" s="70"/>
    </row>
    <row r="9" spans="1:8" ht="15" thickBot="1">
      <c r="A9" s="50" t="s">
        <v>14</v>
      </c>
      <c r="B9" s="51">
        <v>2</v>
      </c>
      <c r="C9" s="51">
        <v>0</v>
      </c>
      <c r="D9" s="51">
        <v>1</v>
      </c>
      <c r="E9" s="51">
        <v>9</v>
      </c>
      <c r="F9" s="51">
        <v>24</v>
      </c>
      <c r="G9" s="52">
        <f t="shared" si="0"/>
        <v>36</v>
      </c>
      <c r="H9" s="71"/>
    </row>
    <row r="10" spans="1:8">
      <c r="A10" s="53" t="s">
        <v>15</v>
      </c>
      <c r="B10" s="54">
        <v>1</v>
      </c>
      <c r="C10" s="54">
        <v>1</v>
      </c>
      <c r="D10" s="54">
        <v>0</v>
      </c>
      <c r="E10" s="54">
        <v>5</v>
      </c>
      <c r="F10" s="54">
        <v>11</v>
      </c>
      <c r="G10" s="41">
        <f t="shared" si="0"/>
        <v>18</v>
      </c>
      <c r="H10" s="72">
        <f>SUM(G10:G13)</f>
        <v>107</v>
      </c>
    </row>
    <row r="11" spans="1:8">
      <c r="A11" s="55" t="s">
        <v>16</v>
      </c>
      <c r="B11" s="38">
        <v>0</v>
      </c>
      <c r="C11" s="38">
        <v>2</v>
      </c>
      <c r="D11" s="38">
        <v>1</v>
      </c>
      <c r="E11" s="38">
        <v>16</v>
      </c>
      <c r="F11" s="38">
        <v>19</v>
      </c>
      <c r="G11" s="35">
        <f t="shared" si="0"/>
        <v>38</v>
      </c>
      <c r="H11" s="73"/>
    </row>
    <row r="12" spans="1:8">
      <c r="A12" s="55" t="s">
        <v>17</v>
      </c>
      <c r="B12" s="38">
        <v>1</v>
      </c>
      <c r="C12" s="38">
        <v>2</v>
      </c>
      <c r="D12" s="38">
        <v>1</v>
      </c>
      <c r="E12" s="38">
        <v>4</v>
      </c>
      <c r="F12" s="38">
        <v>6</v>
      </c>
      <c r="G12" s="35">
        <f t="shared" si="0"/>
        <v>14</v>
      </c>
      <c r="H12" s="73"/>
    </row>
    <row r="13" spans="1:8" ht="15" thickBot="1">
      <c r="A13" s="56" t="s">
        <v>18</v>
      </c>
      <c r="B13" s="57">
        <v>0</v>
      </c>
      <c r="C13" s="57">
        <v>0</v>
      </c>
      <c r="D13" s="57">
        <v>0</v>
      </c>
      <c r="E13" s="57">
        <v>25</v>
      </c>
      <c r="F13" s="57">
        <v>12</v>
      </c>
      <c r="G13" s="45">
        <f t="shared" si="0"/>
        <v>37</v>
      </c>
      <c r="H13" s="74"/>
    </row>
    <row r="14" spans="1:8">
      <c r="A14" s="46" t="s">
        <v>19</v>
      </c>
      <c r="B14" s="47">
        <v>0</v>
      </c>
      <c r="C14" s="47">
        <v>0</v>
      </c>
      <c r="D14" s="47">
        <v>1</v>
      </c>
      <c r="E14" s="47">
        <v>1</v>
      </c>
      <c r="F14" s="47">
        <v>11</v>
      </c>
      <c r="G14" s="48">
        <f t="shared" si="0"/>
        <v>13</v>
      </c>
      <c r="H14" s="69">
        <f>SUM(G14:G17)</f>
        <v>103</v>
      </c>
    </row>
    <row r="15" spans="1:8">
      <c r="A15" s="49" t="s">
        <v>20</v>
      </c>
      <c r="B15" s="36">
        <v>0</v>
      </c>
      <c r="C15" s="36">
        <v>0</v>
      </c>
      <c r="D15" s="36">
        <v>4</v>
      </c>
      <c r="E15" s="36">
        <v>6</v>
      </c>
      <c r="F15" s="36">
        <v>19</v>
      </c>
      <c r="G15" s="37">
        <f t="shared" si="0"/>
        <v>29</v>
      </c>
      <c r="H15" s="70"/>
    </row>
    <row r="16" spans="1:8">
      <c r="A16" s="49" t="s">
        <v>21</v>
      </c>
      <c r="B16" s="36">
        <v>0</v>
      </c>
      <c r="C16" s="36">
        <v>1</v>
      </c>
      <c r="D16" s="36">
        <v>1</v>
      </c>
      <c r="E16" s="36">
        <v>9</v>
      </c>
      <c r="F16" s="36">
        <v>15</v>
      </c>
      <c r="G16" s="37">
        <f t="shared" si="0"/>
        <v>26</v>
      </c>
      <c r="H16" s="70"/>
    </row>
    <row r="17" spans="1:9" ht="15" thickBot="1">
      <c r="A17" s="50" t="s">
        <v>22</v>
      </c>
      <c r="B17" s="51">
        <v>0</v>
      </c>
      <c r="C17" s="51">
        <v>2</v>
      </c>
      <c r="D17" s="51">
        <v>5</v>
      </c>
      <c r="E17" s="51">
        <v>7</v>
      </c>
      <c r="F17" s="51">
        <v>21</v>
      </c>
      <c r="G17" s="52">
        <f t="shared" si="0"/>
        <v>35</v>
      </c>
      <c r="H17" s="71"/>
    </row>
    <row r="18" spans="1:9">
      <c r="A18" s="53" t="s">
        <v>23</v>
      </c>
      <c r="B18" s="54">
        <v>1</v>
      </c>
      <c r="C18" s="54">
        <v>2</v>
      </c>
      <c r="D18" s="54">
        <v>7</v>
      </c>
      <c r="E18" s="54">
        <v>2</v>
      </c>
      <c r="F18" s="54">
        <v>1</v>
      </c>
      <c r="G18" s="41">
        <f t="shared" si="0"/>
        <v>13</v>
      </c>
      <c r="H18" s="72">
        <f>SUM(G18:G21)</f>
        <v>67</v>
      </c>
    </row>
    <row r="19" spans="1:9">
      <c r="A19" s="55" t="s">
        <v>24</v>
      </c>
      <c r="B19" s="38">
        <v>4</v>
      </c>
      <c r="C19" s="38">
        <v>2</v>
      </c>
      <c r="D19" s="38">
        <v>2</v>
      </c>
      <c r="E19" s="38">
        <v>11</v>
      </c>
      <c r="F19" s="38">
        <v>2</v>
      </c>
      <c r="G19" s="35">
        <f t="shared" si="0"/>
        <v>21</v>
      </c>
      <c r="H19" s="73"/>
    </row>
    <row r="20" spans="1:9">
      <c r="A20" s="55" t="s">
        <v>25</v>
      </c>
      <c r="B20" s="38">
        <v>0</v>
      </c>
      <c r="C20" s="38">
        <v>0</v>
      </c>
      <c r="D20" s="38">
        <v>1</v>
      </c>
      <c r="E20" s="38">
        <v>3</v>
      </c>
      <c r="F20" s="38">
        <v>12</v>
      </c>
      <c r="G20" s="35">
        <f t="shared" si="0"/>
        <v>16</v>
      </c>
      <c r="H20" s="73"/>
    </row>
    <row r="21" spans="1:9" ht="15" thickBot="1">
      <c r="A21" s="56" t="s">
        <v>26</v>
      </c>
      <c r="B21" s="57">
        <v>1</v>
      </c>
      <c r="C21" s="57">
        <v>0</v>
      </c>
      <c r="D21" s="57">
        <v>5</v>
      </c>
      <c r="E21" s="57">
        <v>6</v>
      </c>
      <c r="F21" s="57">
        <v>5</v>
      </c>
      <c r="G21" s="45">
        <f t="shared" si="0"/>
        <v>17</v>
      </c>
      <c r="H21" s="74"/>
    </row>
    <row r="22" spans="1:9">
      <c r="A22" s="58" t="s">
        <v>27</v>
      </c>
      <c r="B22" s="47">
        <v>0</v>
      </c>
      <c r="C22" s="47">
        <v>0</v>
      </c>
      <c r="D22" s="47">
        <v>0</v>
      </c>
      <c r="E22" s="47">
        <v>0</v>
      </c>
      <c r="F22" s="47">
        <v>0</v>
      </c>
      <c r="G22" s="48">
        <f t="shared" si="0"/>
        <v>0</v>
      </c>
      <c r="H22" s="75">
        <f>SUM(G22:G24)</f>
        <v>0</v>
      </c>
    </row>
    <row r="23" spans="1:9" ht="15" thickBot="1">
      <c r="A23" s="59" t="s">
        <v>28</v>
      </c>
      <c r="B23" s="51">
        <v>0</v>
      </c>
      <c r="C23" s="51">
        <v>0</v>
      </c>
      <c r="D23" s="51">
        <v>0</v>
      </c>
      <c r="E23" s="51">
        <v>0</v>
      </c>
      <c r="F23" s="51">
        <v>0</v>
      </c>
      <c r="G23" s="52">
        <f t="shared" si="0"/>
        <v>0</v>
      </c>
      <c r="H23" s="76"/>
    </row>
    <row r="24" spans="1:9" ht="15" thickBot="1">
      <c r="A24" s="15"/>
      <c r="B24" s="1"/>
      <c r="C24" s="1"/>
      <c r="D24" s="1"/>
      <c r="E24" s="1"/>
      <c r="F24" s="1"/>
      <c r="G24" s="77"/>
      <c r="H24" s="77"/>
    </row>
    <row r="25" spans="1:9" ht="15" thickBot="1">
      <c r="A25" s="26" t="s">
        <v>29</v>
      </c>
      <c r="B25" s="21">
        <f>SUM(B2:B23)</f>
        <v>33</v>
      </c>
      <c r="C25" s="22">
        <f>SUM(C2:C23)</f>
        <v>31</v>
      </c>
      <c r="D25" s="22">
        <f>SUM(D2:D23)</f>
        <v>74</v>
      </c>
      <c r="E25" s="23">
        <f>SUM(E2:E23)</f>
        <v>154</v>
      </c>
      <c r="F25" s="24">
        <f>SUM(F2:F23)</f>
        <v>197</v>
      </c>
      <c r="G25" s="16" t="s">
        <v>30</v>
      </c>
      <c r="H25" s="19">
        <f>SUM(G2:G23)</f>
        <v>489</v>
      </c>
    </row>
    <row r="26" spans="1:9" ht="15" thickBot="1">
      <c r="A26" s="25" t="s">
        <v>31</v>
      </c>
      <c r="B26" s="27">
        <f>AVERAGE(B2:B23)</f>
        <v>1.5</v>
      </c>
      <c r="C26" s="28">
        <f>AVERAGE(C2:C23)</f>
        <v>1.4090909090909092</v>
      </c>
      <c r="D26" s="28">
        <f>AVERAGE(D2:D23)</f>
        <v>3.3636363636363638</v>
      </c>
      <c r="E26" s="29">
        <f>AVERAGE(E2:E23)</f>
        <v>7</v>
      </c>
      <c r="F26" s="30">
        <f>AVERAGE(F2:F23)</f>
        <v>8.954545454545455</v>
      </c>
      <c r="G26" s="17" t="s">
        <v>32</v>
      </c>
      <c r="H26" s="18">
        <f>SUM(B25*1,C25*2,D25*3,E25*4,F25*5)/H25</f>
        <v>3.9222903885480571</v>
      </c>
    </row>
    <row r="27" spans="1:9" ht="15" thickBot="1">
      <c r="G27" s="31" t="s">
        <v>33</v>
      </c>
      <c r="H27" s="32">
        <f>'SEMANA 40'!H26</f>
        <v>4.232394366197183</v>
      </c>
      <c r="I27" s="33" t="str">
        <f>_xlfn.CONCAT("", (H26-H27)/H27, "%")</f>
        <v>-0,0732691594445522%</v>
      </c>
    </row>
  </sheetData>
  <mergeCells count="7">
    <mergeCell ref="G24:H24"/>
    <mergeCell ref="H2:H5"/>
    <mergeCell ref="H6:H9"/>
    <mergeCell ref="H10:H13"/>
    <mergeCell ref="H14:H17"/>
    <mergeCell ref="H18:H21"/>
    <mergeCell ref="H22:H23"/>
  </mergeCells>
  <pageMargins left="0.511811024" right="0.511811024" top="0.78740157499999996" bottom="0.78740157499999996" header="0.31496062000000002" footer="0.31496062000000002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20603-C8E2-482C-B49E-64712B261ADB}">
  <dimension ref="A1:I27"/>
  <sheetViews>
    <sheetView zoomScaleNormal="100" workbookViewId="0">
      <selection activeCell="H27" sqref="H27"/>
    </sheetView>
  </sheetViews>
  <sheetFormatPr defaultRowHeight="14.45"/>
  <cols>
    <col min="1" max="1" width="24.42578125" customWidth="1"/>
    <col min="2" max="2" width="4.140625" bestFit="1" customWidth="1"/>
    <col min="3" max="3" width="7" bestFit="1" customWidth="1"/>
    <col min="4" max="4" width="9.85546875" bestFit="1" customWidth="1"/>
    <col min="5" max="5" width="12.7109375" bestFit="1" customWidth="1"/>
    <col min="6" max="6" width="15.7109375" bestFit="1" customWidth="1"/>
    <col min="7" max="7" width="33.7109375" customWidth="1"/>
    <col min="8" max="8" width="26.85546875" bestFit="1" customWidth="1"/>
    <col min="9" max="9" width="27.7109375" customWidth="1"/>
  </cols>
  <sheetData>
    <row r="1" spans="1:8" ht="15" thickBot="1">
      <c r="B1" s="4" t="s">
        <v>0</v>
      </c>
      <c r="C1" s="5" t="s">
        <v>1</v>
      </c>
      <c r="D1" s="6" t="s">
        <v>2</v>
      </c>
      <c r="E1" s="7" t="s">
        <v>3</v>
      </c>
      <c r="F1" s="8" t="s">
        <v>4</v>
      </c>
      <c r="G1" s="2" t="s">
        <v>5</v>
      </c>
      <c r="H1" s="3" t="s">
        <v>6</v>
      </c>
    </row>
    <row r="2" spans="1:8">
      <c r="A2" s="39" t="s">
        <v>7</v>
      </c>
      <c r="B2" s="40">
        <v>1</v>
      </c>
      <c r="C2" s="40">
        <v>11</v>
      </c>
      <c r="D2" s="40">
        <v>3</v>
      </c>
      <c r="E2" s="40">
        <v>2</v>
      </c>
      <c r="F2" s="40">
        <v>0</v>
      </c>
      <c r="G2" s="41">
        <f>SUM(B2:F2)</f>
        <v>17</v>
      </c>
      <c r="H2" s="78">
        <f>SUM(G2:G5)</f>
        <v>120</v>
      </c>
    </row>
    <row r="3" spans="1:8">
      <c r="A3" s="42" t="s">
        <v>8</v>
      </c>
      <c r="B3" s="34">
        <v>2</v>
      </c>
      <c r="C3" s="34">
        <v>11</v>
      </c>
      <c r="D3" s="34">
        <v>16</v>
      </c>
      <c r="E3" s="34">
        <v>17</v>
      </c>
      <c r="F3" s="34">
        <v>2</v>
      </c>
      <c r="G3" s="35">
        <f>SUM(B3:F3)</f>
        <v>48</v>
      </c>
      <c r="H3" s="79"/>
    </row>
    <row r="4" spans="1:8">
      <c r="A4" s="42" t="s">
        <v>9</v>
      </c>
      <c r="B4" s="34">
        <v>6</v>
      </c>
      <c r="C4" s="34">
        <v>3</v>
      </c>
      <c r="D4" s="34">
        <v>8</v>
      </c>
      <c r="E4" s="34">
        <v>5</v>
      </c>
      <c r="F4" s="34">
        <v>3</v>
      </c>
      <c r="G4" s="35">
        <f t="shared" ref="G4:G23" si="0">SUM(B4:F4)</f>
        <v>25</v>
      </c>
      <c r="H4" s="79"/>
    </row>
    <row r="5" spans="1:8" ht="15" thickBot="1">
      <c r="A5" s="43" t="s">
        <v>10</v>
      </c>
      <c r="B5" s="44">
        <v>1</v>
      </c>
      <c r="C5" s="44">
        <v>4</v>
      </c>
      <c r="D5" s="44">
        <v>10</v>
      </c>
      <c r="E5" s="44">
        <v>12</v>
      </c>
      <c r="F5" s="44">
        <v>3</v>
      </c>
      <c r="G5" s="45">
        <f t="shared" si="0"/>
        <v>30</v>
      </c>
      <c r="H5" s="80"/>
    </row>
    <row r="6" spans="1:8">
      <c r="A6" s="46" t="s">
        <v>11</v>
      </c>
      <c r="B6" s="47">
        <v>13</v>
      </c>
      <c r="C6" s="47">
        <v>3</v>
      </c>
      <c r="D6" s="47">
        <v>4</v>
      </c>
      <c r="E6" s="47">
        <v>3</v>
      </c>
      <c r="F6" s="47">
        <v>1</v>
      </c>
      <c r="G6" s="48">
        <f t="shared" si="0"/>
        <v>24</v>
      </c>
      <c r="H6" s="69">
        <f>SUM(G6:G9)</f>
        <v>116</v>
      </c>
    </row>
    <row r="7" spans="1:8">
      <c r="A7" s="49" t="s">
        <v>12</v>
      </c>
      <c r="B7" s="36">
        <v>2</v>
      </c>
      <c r="C7" s="36">
        <v>1</v>
      </c>
      <c r="D7" s="36">
        <v>11</v>
      </c>
      <c r="E7" s="36">
        <v>9</v>
      </c>
      <c r="F7" s="36">
        <v>5</v>
      </c>
      <c r="G7" s="37">
        <f t="shared" si="0"/>
        <v>28</v>
      </c>
      <c r="H7" s="70"/>
    </row>
    <row r="8" spans="1:8">
      <c r="A8" s="49" t="s">
        <v>13</v>
      </c>
      <c r="B8" s="36">
        <v>2</v>
      </c>
      <c r="C8" s="36">
        <v>0</v>
      </c>
      <c r="D8" s="36">
        <v>2</v>
      </c>
      <c r="E8" s="36">
        <v>4</v>
      </c>
      <c r="F8" s="36">
        <v>19</v>
      </c>
      <c r="G8" s="37">
        <f t="shared" si="0"/>
        <v>27</v>
      </c>
      <c r="H8" s="70"/>
    </row>
    <row r="9" spans="1:8" ht="15" thickBot="1">
      <c r="A9" s="50" t="s">
        <v>14</v>
      </c>
      <c r="B9" s="51">
        <v>0</v>
      </c>
      <c r="C9" s="51">
        <v>0</v>
      </c>
      <c r="D9" s="51">
        <v>3</v>
      </c>
      <c r="E9" s="51">
        <v>11</v>
      </c>
      <c r="F9" s="51">
        <v>23</v>
      </c>
      <c r="G9" s="52">
        <f t="shared" si="0"/>
        <v>37</v>
      </c>
      <c r="H9" s="71"/>
    </row>
    <row r="10" spans="1:8">
      <c r="A10" s="53" t="s">
        <v>15</v>
      </c>
      <c r="B10" s="54">
        <v>2</v>
      </c>
      <c r="C10" s="54">
        <v>0</v>
      </c>
      <c r="D10" s="54">
        <v>4</v>
      </c>
      <c r="E10" s="54">
        <v>26</v>
      </c>
      <c r="F10" s="54">
        <v>7</v>
      </c>
      <c r="G10" s="41">
        <f t="shared" si="0"/>
        <v>39</v>
      </c>
      <c r="H10" s="72">
        <f>SUM(G10:G13)</f>
        <v>128</v>
      </c>
    </row>
    <row r="11" spans="1:8">
      <c r="A11" s="55" t="s">
        <v>16</v>
      </c>
      <c r="B11" s="38">
        <v>0</v>
      </c>
      <c r="C11" s="38">
        <v>0</v>
      </c>
      <c r="D11" s="38">
        <v>1</v>
      </c>
      <c r="E11" s="38">
        <v>7</v>
      </c>
      <c r="F11" s="38">
        <v>26</v>
      </c>
      <c r="G11" s="35">
        <f t="shared" si="0"/>
        <v>34</v>
      </c>
      <c r="H11" s="73"/>
    </row>
    <row r="12" spans="1:8">
      <c r="A12" s="55" t="s">
        <v>17</v>
      </c>
      <c r="B12" s="38">
        <v>2</v>
      </c>
      <c r="C12" s="38">
        <v>5</v>
      </c>
      <c r="D12" s="38">
        <v>4</v>
      </c>
      <c r="E12" s="38">
        <v>9</v>
      </c>
      <c r="F12" s="38">
        <v>3</v>
      </c>
      <c r="G12" s="35">
        <f t="shared" si="0"/>
        <v>23</v>
      </c>
      <c r="H12" s="73"/>
    </row>
    <row r="13" spans="1:8" ht="15" thickBot="1">
      <c r="A13" s="56" t="s">
        <v>18</v>
      </c>
      <c r="B13" s="57">
        <v>4</v>
      </c>
      <c r="C13" s="57">
        <v>13</v>
      </c>
      <c r="D13" s="57">
        <v>4</v>
      </c>
      <c r="E13" s="57">
        <v>7</v>
      </c>
      <c r="F13" s="57">
        <v>4</v>
      </c>
      <c r="G13" s="45">
        <f t="shared" si="0"/>
        <v>32</v>
      </c>
      <c r="H13" s="74"/>
    </row>
    <row r="14" spans="1:8">
      <c r="A14" s="46" t="s">
        <v>19</v>
      </c>
      <c r="B14" s="47">
        <v>2</v>
      </c>
      <c r="C14" s="47">
        <v>0</v>
      </c>
      <c r="D14" s="47">
        <v>5</v>
      </c>
      <c r="E14" s="47">
        <v>10</v>
      </c>
      <c r="F14" s="47">
        <v>13</v>
      </c>
      <c r="G14" s="48">
        <f t="shared" si="0"/>
        <v>30</v>
      </c>
      <c r="H14" s="69">
        <f>SUM(G14:G17)</f>
        <v>99</v>
      </c>
    </row>
    <row r="15" spans="1:8">
      <c r="A15" s="49" t="s">
        <v>20</v>
      </c>
      <c r="B15" s="36">
        <v>0</v>
      </c>
      <c r="C15" s="36">
        <v>2</v>
      </c>
      <c r="D15" s="36">
        <v>5</v>
      </c>
      <c r="E15" s="36">
        <v>7</v>
      </c>
      <c r="F15" s="36">
        <v>12</v>
      </c>
      <c r="G15" s="37">
        <f t="shared" si="0"/>
        <v>26</v>
      </c>
      <c r="H15" s="70"/>
    </row>
    <row r="16" spans="1:8">
      <c r="A16" s="49" t="s">
        <v>21</v>
      </c>
      <c r="B16" s="36">
        <v>2</v>
      </c>
      <c r="C16" s="36">
        <v>0</v>
      </c>
      <c r="D16" s="36">
        <v>4</v>
      </c>
      <c r="E16" s="36">
        <v>9</v>
      </c>
      <c r="F16" s="36">
        <v>7</v>
      </c>
      <c r="G16" s="37">
        <f t="shared" si="0"/>
        <v>22</v>
      </c>
      <c r="H16" s="70"/>
    </row>
    <row r="17" spans="1:9" ht="15" thickBot="1">
      <c r="A17" s="50" t="s">
        <v>22</v>
      </c>
      <c r="B17" s="51">
        <v>0</v>
      </c>
      <c r="C17" s="51">
        <v>2</v>
      </c>
      <c r="D17" s="51">
        <v>4</v>
      </c>
      <c r="E17" s="51">
        <v>9</v>
      </c>
      <c r="F17" s="51">
        <v>6</v>
      </c>
      <c r="G17" s="52">
        <f t="shared" si="0"/>
        <v>21</v>
      </c>
      <c r="H17" s="71"/>
    </row>
    <row r="18" spans="1:9">
      <c r="A18" s="53" t="s">
        <v>23</v>
      </c>
      <c r="B18" s="54">
        <v>1</v>
      </c>
      <c r="C18" s="54">
        <v>0</v>
      </c>
      <c r="D18" s="54">
        <v>1</v>
      </c>
      <c r="E18" s="54">
        <v>0</v>
      </c>
      <c r="F18" s="54">
        <v>18</v>
      </c>
      <c r="G18" s="41">
        <f t="shared" si="0"/>
        <v>20</v>
      </c>
      <c r="H18" s="72">
        <f>SUM(G18:G21)</f>
        <v>94</v>
      </c>
    </row>
    <row r="19" spans="1:9">
      <c r="A19" s="55" t="s">
        <v>24</v>
      </c>
      <c r="B19" s="38">
        <v>0</v>
      </c>
      <c r="C19" s="38">
        <v>0</v>
      </c>
      <c r="D19" s="38">
        <v>0</v>
      </c>
      <c r="E19" s="38">
        <v>8</v>
      </c>
      <c r="F19" s="38">
        <v>22</v>
      </c>
      <c r="G19" s="35">
        <f t="shared" si="0"/>
        <v>30</v>
      </c>
      <c r="H19" s="73"/>
    </row>
    <row r="20" spans="1:9">
      <c r="A20" s="55" t="s">
        <v>25</v>
      </c>
      <c r="B20" s="38">
        <v>2</v>
      </c>
      <c r="C20" s="38">
        <v>4</v>
      </c>
      <c r="D20" s="38">
        <v>6</v>
      </c>
      <c r="E20" s="38">
        <v>2</v>
      </c>
      <c r="F20" s="38">
        <v>2</v>
      </c>
      <c r="G20" s="35">
        <f t="shared" si="0"/>
        <v>16</v>
      </c>
      <c r="H20" s="73"/>
    </row>
    <row r="21" spans="1:9" ht="15" thickBot="1">
      <c r="A21" s="56" t="s">
        <v>26</v>
      </c>
      <c r="B21" s="57">
        <v>1</v>
      </c>
      <c r="C21" s="57">
        <v>5</v>
      </c>
      <c r="D21" s="57">
        <v>8</v>
      </c>
      <c r="E21" s="57">
        <v>6</v>
      </c>
      <c r="F21" s="57">
        <v>8</v>
      </c>
      <c r="G21" s="45">
        <f t="shared" si="0"/>
        <v>28</v>
      </c>
      <c r="H21" s="74"/>
    </row>
    <row r="22" spans="1:9">
      <c r="A22" s="58" t="s">
        <v>27</v>
      </c>
      <c r="B22" s="47">
        <v>2</v>
      </c>
      <c r="C22" s="47">
        <v>1</v>
      </c>
      <c r="D22" s="47">
        <v>2</v>
      </c>
      <c r="E22" s="47">
        <v>5</v>
      </c>
      <c r="F22" s="47">
        <v>5</v>
      </c>
      <c r="G22" s="48">
        <f t="shared" si="0"/>
        <v>15</v>
      </c>
      <c r="H22" s="75">
        <f>SUM(G22:G24)</f>
        <v>26</v>
      </c>
    </row>
    <row r="23" spans="1:9" ht="15" thickBot="1">
      <c r="A23" s="59" t="s">
        <v>28</v>
      </c>
      <c r="B23" s="51">
        <v>0</v>
      </c>
      <c r="C23" s="51">
        <v>0</v>
      </c>
      <c r="D23" s="51">
        <v>2</v>
      </c>
      <c r="E23" s="51">
        <v>9</v>
      </c>
      <c r="F23" s="51">
        <v>0</v>
      </c>
      <c r="G23" s="52">
        <f t="shared" si="0"/>
        <v>11</v>
      </c>
      <c r="H23" s="76"/>
    </row>
    <row r="24" spans="1:9" ht="15" thickBot="1">
      <c r="A24" s="15"/>
      <c r="B24" s="1"/>
      <c r="C24" s="1"/>
      <c r="D24" s="1"/>
      <c r="E24" s="1"/>
      <c r="F24" s="1"/>
      <c r="G24" s="77"/>
      <c r="H24" s="77"/>
    </row>
    <row r="25" spans="1:9" ht="15" thickBot="1">
      <c r="A25" s="26" t="s">
        <v>29</v>
      </c>
      <c r="B25" s="21">
        <f>SUM(B2:B23)</f>
        <v>45</v>
      </c>
      <c r="C25" s="22">
        <f>SUM(C2:C23)</f>
        <v>65</v>
      </c>
      <c r="D25" s="22">
        <f>SUM(D2:D23)</f>
        <v>107</v>
      </c>
      <c r="E25" s="23">
        <f>SUM(E2:E23)</f>
        <v>177</v>
      </c>
      <c r="F25" s="24">
        <f>SUM(F2:F23)</f>
        <v>189</v>
      </c>
      <c r="G25" s="16" t="s">
        <v>30</v>
      </c>
      <c r="H25" s="19">
        <f>SUM(G2:G23)</f>
        <v>583</v>
      </c>
    </row>
    <row r="26" spans="1:9" ht="15" thickBot="1">
      <c r="A26" s="25" t="s">
        <v>31</v>
      </c>
      <c r="B26" s="27">
        <f>AVERAGE(B2:B23)</f>
        <v>2.0454545454545454</v>
      </c>
      <c r="C26" s="28">
        <f>AVERAGE(C2:C23)</f>
        <v>2.9545454545454546</v>
      </c>
      <c r="D26" s="28">
        <f>AVERAGE(D2:D23)</f>
        <v>4.8636363636363633</v>
      </c>
      <c r="E26" s="29">
        <f>AVERAGE(E2:E23)</f>
        <v>8.045454545454545</v>
      </c>
      <c r="F26" s="30">
        <f>AVERAGE(F2:F23)</f>
        <v>8.5909090909090917</v>
      </c>
      <c r="G26" s="17" t="s">
        <v>32</v>
      </c>
      <c r="H26" s="18">
        <f>SUM(B25*1,C25*2,D25*3,E25*4,F25*5)/H25</f>
        <v>3.6861063464837049</v>
      </c>
    </row>
    <row r="27" spans="1:9" ht="15" thickBot="1">
      <c r="G27" s="31" t="s">
        <v>33</v>
      </c>
      <c r="H27" s="32">
        <f>'SEMANA 41'!H26</f>
        <v>3.9222903885480571</v>
      </c>
      <c r="I27" s="33" t="str">
        <f>_xlfn.CONCAT("", (H26-H27)/H27, "%")</f>
        <v>-0,0602158480549886%</v>
      </c>
    </row>
  </sheetData>
  <mergeCells count="7">
    <mergeCell ref="G24:H24"/>
    <mergeCell ref="H2:H5"/>
    <mergeCell ref="H6:H9"/>
    <mergeCell ref="H10:H13"/>
    <mergeCell ref="H14:H17"/>
    <mergeCell ref="H18:H21"/>
    <mergeCell ref="H22:H23"/>
  </mergeCells>
  <pageMargins left="0.511811024" right="0.511811024" top="0.78740157499999996" bottom="0.78740157499999996" header="0.31496062000000002" footer="0.31496062000000002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ADAB0-52FD-41BD-9084-1EBFC7571CE3}">
  <dimension ref="A1:I27"/>
  <sheetViews>
    <sheetView zoomScaleNormal="100" workbookViewId="0">
      <selection activeCell="F23" sqref="F23"/>
    </sheetView>
  </sheetViews>
  <sheetFormatPr defaultRowHeight="14.45"/>
  <cols>
    <col min="1" max="1" width="24.42578125" customWidth="1"/>
    <col min="2" max="2" width="4.140625" bestFit="1" customWidth="1"/>
    <col min="3" max="3" width="7" bestFit="1" customWidth="1"/>
    <col min="4" max="4" width="9.85546875" bestFit="1" customWidth="1"/>
    <col min="5" max="5" width="12.7109375" bestFit="1" customWidth="1"/>
    <col min="6" max="6" width="15.7109375" bestFit="1" customWidth="1"/>
    <col min="7" max="7" width="33.7109375" customWidth="1"/>
    <col min="8" max="8" width="26.85546875" bestFit="1" customWidth="1"/>
    <col min="9" max="9" width="27.7109375" customWidth="1"/>
  </cols>
  <sheetData>
    <row r="1" spans="1:8" ht="15" thickBot="1">
      <c r="B1" s="4" t="s">
        <v>0</v>
      </c>
      <c r="C1" s="5" t="s">
        <v>1</v>
      </c>
      <c r="D1" s="6" t="s">
        <v>2</v>
      </c>
      <c r="E1" s="7" t="s">
        <v>3</v>
      </c>
      <c r="F1" s="8" t="s">
        <v>4</v>
      </c>
      <c r="G1" s="2" t="s">
        <v>5</v>
      </c>
      <c r="H1" s="3" t="s">
        <v>6</v>
      </c>
    </row>
    <row r="2" spans="1:8">
      <c r="A2" s="39" t="s">
        <v>7</v>
      </c>
      <c r="B2" s="40">
        <v>1</v>
      </c>
      <c r="C2" s="40">
        <v>0</v>
      </c>
      <c r="D2" s="40">
        <v>0</v>
      </c>
      <c r="E2" s="40">
        <v>5</v>
      </c>
      <c r="F2" s="40">
        <v>2</v>
      </c>
      <c r="G2" s="41">
        <f>SUM(B2:F2)</f>
        <v>8</v>
      </c>
      <c r="H2" s="78">
        <f>SUM(G2:G5)</f>
        <v>89</v>
      </c>
    </row>
    <row r="3" spans="1:8">
      <c r="A3" s="42" t="s">
        <v>8</v>
      </c>
      <c r="B3" s="34">
        <v>1</v>
      </c>
      <c r="C3" s="34">
        <v>3</v>
      </c>
      <c r="D3" s="34">
        <v>9</v>
      </c>
      <c r="E3" s="34">
        <v>16</v>
      </c>
      <c r="F3" s="34">
        <v>0</v>
      </c>
      <c r="G3" s="35">
        <f>SUM(B3:F3)</f>
        <v>29</v>
      </c>
      <c r="H3" s="79"/>
    </row>
    <row r="4" spans="1:8">
      <c r="A4" s="42" t="s">
        <v>9</v>
      </c>
      <c r="B4" s="34">
        <v>0</v>
      </c>
      <c r="C4" s="34">
        <v>0</v>
      </c>
      <c r="D4" s="34">
        <v>0</v>
      </c>
      <c r="E4" s="34">
        <v>6</v>
      </c>
      <c r="F4" s="34">
        <v>7</v>
      </c>
      <c r="G4" s="35">
        <f t="shared" ref="G4:G23" si="0">SUM(B4:F4)</f>
        <v>13</v>
      </c>
      <c r="H4" s="79"/>
    </row>
    <row r="5" spans="1:8" ht="15" thickBot="1">
      <c r="A5" s="43" t="s">
        <v>10</v>
      </c>
      <c r="B5" s="44">
        <v>0</v>
      </c>
      <c r="C5" s="44">
        <v>0</v>
      </c>
      <c r="D5" s="44">
        <v>2</v>
      </c>
      <c r="E5" s="44">
        <v>11</v>
      </c>
      <c r="F5" s="44">
        <v>26</v>
      </c>
      <c r="G5" s="45">
        <f t="shared" si="0"/>
        <v>39</v>
      </c>
      <c r="H5" s="80"/>
    </row>
    <row r="6" spans="1:8">
      <c r="A6" s="46" t="s">
        <v>11</v>
      </c>
      <c r="B6" s="47">
        <v>2</v>
      </c>
      <c r="C6" s="47">
        <v>0</v>
      </c>
      <c r="D6" s="47">
        <v>3</v>
      </c>
      <c r="E6" s="47">
        <v>9</v>
      </c>
      <c r="F6" s="47">
        <v>6</v>
      </c>
      <c r="G6" s="48">
        <f t="shared" si="0"/>
        <v>20</v>
      </c>
      <c r="H6" s="69">
        <f>SUM(G6:G9)</f>
        <v>82</v>
      </c>
    </row>
    <row r="7" spans="1:8">
      <c r="A7" s="49" t="s">
        <v>12</v>
      </c>
      <c r="B7" s="36">
        <v>0</v>
      </c>
      <c r="C7" s="36">
        <v>0</v>
      </c>
      <c r="D7" s="36">
        <v>6</v>
      </c>
      <c r="E7" s="36">
        <v>15</v>
      </c>
      <c r="F7" s="36">
        <v>5</v>
      </c>
      <c r="G7" s="37">
        <f t="shared" si="0"/>
        <v>26</v>
      </c>
      <c r="H7" s="70"/>
    </row>
    <row r="8" spans="1:8">
      <c r="A8" s="49" t="s">
        <v>13</v>
      </c>
      <c r="B8" s="36">
        <v>2</v>
      </c>
      <c r="C8" s="36">
        <v>1</v>
      </c>
      <c r="D8" s="36">
        <v>3</v>
      </c>
      <c r="E8" s="36">
        <v>9</v>
      </c>
      <c r="F8" s="36">
        <v>1</v>
      </c>
      <c r="G8" s="37">
        <f t="shared" si="0"/>
        <v>16</v>
      </c>
      <c r="H8" s="70"/>
    </row>
    <row r="9" spans="1:8" ht="15" thickBot="1">
      <c r="A9" s="50" t="s">
        <v>14</v>
      </c>
      <c r="B9" s="51">
        <v>0</v>
      </c>
      <c r="C9" s="51">
        <v>1</v>
      </c>
      <c r="D9" s="51">
        <v>1</v>
      </c>
      <c r="E9" s="51">
        <v>12</v>
      </c>
      <c r="F9" s="51">
        <v>6</v>
      </c>
      <c r="G9" s="52">
        <f t="shared" si="0"/>
        <v>20</v>
      </c>
      <c r="H9" s="71"/>
    </row>
    <row r="10" spans="1:8">
      <c r="A10" s="53" t="s">
        <v>15</v>
      </c>
      <c r="B10" s="54">
        <v>0</v>
      </c>
      <c r="C10" s="54">
        <v>0</v>
      </c>
      <c r="D10" s="54">
        <v>1</v>
      </c>
      <c r="E10" s="54">
        <v>5</v>
      </c>
      <c r="F10" s="54">
        <v>31</v>
      </c>
      <c r="G10" s="41">
        <f t="shared" si="0"/>
        <v>37</v>
      </c>
      <c r="H10" s="72">
        <f>SUM(G10:G13)</f>
        <v>97</v>
      </c>
    </row>
    <row r="11" spans="1:8">
      <c r="A11" s="55" t="s">
        <v>16</v>
      </c>
      <c r="B11" s="38">
        <v>0</v>
      </c>
      <c r="C11" s="38">
        <v>0</v>
      </c>
      <c r="D11" s="38">
        <v>0</v>
      </c>
      <c r="E11" s="38">
        <v>9</v>
      </c>
      <c r="F11" s="38">
        <v>37</v>
      </c>
      <c r="G11" s="35">
        <f t="shared" si="0"/>
        <v>46</v>
      </c>
      <c r="H11" s="73"/>
    </row>
    <row r="12" spans="1:8">
      <c r="A12" s="55" t="s">
        <v>17</v>
      </c>
      <c r="B12" s="38">
        <v>3</v>
      </c>
      <c r="C12" s="38">
        <v>0</v>
      </c>
      <c r="D12" s="38">
        <v>0</v>
      </c>
      <c r="E12" s="38">
        <v>1</v>
      </c>
      <c r="F12" s="38">
        <v>2</v>
      </c>
      <c r="G12" s="35">
        <f t="shared" si="0"/>
        <v>6</v>
      </c>
      <c r="H12" s="73"/>
    </row>
    <row r="13" spans="1:8" ht="15" thickBot="1">
      <c r="A13" s="56" t="s">
        <v>18</v>
      </c>
      <c r="B13" s="57">
        <v>0</v>
      </c>
      <c r="C13" s="57">
        <v>0</v>
      </c>
      <c r="D13" s="57">
        <v>3</v>
      </c>
      <c r="E13" s="57">
        <v>1</v>
      </c>
      <c r="F13" s="57">
        <v>4</v>
      </c>
      <c r="G13" s="45">
        <f t="shared" si="0"/>
        <v>8</v>
      </c>
      <c r="H13" s="74"/>
    </row>
    <row r="14" spans="1:8">
      <c r="A14" s="46" t="s">
        <v>19</v>
      </c>
      <c r="B14" s="47">
        <v>0</v>
      </c>
      <c r="C14" s="47">
        <v>1</v>
      </c>
      <c r="D14" s="47">
        <v>6</v>
      </c>
      <c r="E14" s="47">
        <v>13</v>
      </c>
      <c r="F14" s="47">
        <v>2</v>
      </c>
      <c r="G14" s="48">
        <f t="shared" si="0"/>
        <v>22</v>
      </c>
      <c r="H14" s="69">
        <f>SUM(G14:G17)</f>
        <v>95</v>
      </c>
    </row>
    <row r="15" spans="1:8">
      <c r="A15" s="49" t="s">
        <v>20</v>
      </c>
      <c r="B15" s="36">
        <v>0</v>
      </c>
      <c r="C15" s="36">
        <v>4</v>
      </c>
      <c r="D15" s="36">
        <v>6</v>
      </c>
      <c r="E15" s="36">
        <v>17</v>
      </c>
      <c r="F15" s="36">
        <v>5</v>
      </c>
      <c r="G15" s="37">
        <f t="shared" si="0"/>
        <v>32</v>
      </c>
      <c r="H15" s="70"/>
    </row>
    <row r="16" spans="1:8">
      <c r="A16" s="49" t="s">
        <v>21</v>
      </c>
      <c r="B16" s="36">
        <v>0</v>
      </c>
      <c r="C16" s="36">
        <v>0</v>
      </c>
      <c r="D16" s="36">
        <v>1</v>
      </c>
      <c r="E16" s="36">
        <v>6</v>
      </c>
      <c r="F16" s="36">
        <v>14</v>
      </c>
      <c r="G16" s="37">
        <f t="shared" si="0"/>
        <v>21</v>
      </c>
      <c r="H16" s="70"/>
    </row>
    <row r="17" spans="1:9" ht="15" thickBot="1">
      <c r="A17" s="50" t="s">
        <v>22</v>
      </c>
      <c r="B17" s="51">
        <v>0</v>
      </c>
      <c r="C17" s="51">
        <v>1</v>
      </c>
      <c r="D17" s="51">
        <v>0</v>
      </c>
      <c r="E17" s="51">
        <v>11</v>
      </c>
      <c r="F17" s="51">
        <v>8</v>
      </c>
      <c r="G17" s="52">
        <f t="shared" si="0"/>
        <v>20</v>
      </c>
      <c r="H17" s="71"/>
    </row>
    <row r="18" spans="1:9">
      <c r="A18" s="53" t="s">
        <v>23</v>
      </c>
      <c r="B18" s="54">
        <v>0</v>
      </c>
      <c r="C18" s="54">
        <v>6</v>
      </c>
      <c r="D18" s="54">
        <v>9</v>
      </c>
      <c r="E18" s="54">
        <v>14</v>
      </c>
      <c r="F18" s="54">
        <v>6</v>
      </c>
      <c r="G18" s="41">
        <f t="shared" si="0"/>
        <v>35</v>
      </c>
      <c r="H18" s="72">
        <f>SUM(G18:G21)</f>
        <v>86</v>
      </c>
    </row>
    <row r="19" spans="1:9">
      <c r="A19" s="55" t="s">
        <v>24</v>
      </c>
      <c r="B19" s="38">
        <v>1</v>
      </c>
      <c r="C19" s="38">
        <v>2</v>
      </c>
      <c r="D19" s="38">
        <v>1</v>
      </c>
      <c r="E19" s="38">
        <v>13</v>
      </c>
      <c r="F19" s="38">
        <v>10</v>
      </c>
      <c r="G19" s="35">
        <f t="shared" si="0"/>
        <v>27</v>
      </c>
      <c r="H19" s="73"/>
    </row>
    <row r="20" spans="1:9">
      <c r="A20" s="55" t="s">
        <v>25</v>
      </c>
      <c r="B20" s="38">
        <v>0</v>
      </c>
      <c r="C20" s="38">
        <v>0</v>
      </c>
      <c r="D20" s="38">
        <v>1</v>
      </c>
      <c r="E20" s="38">
        <v>1</v>
      </c>
      <c r="F20" s="38">
        <v>7</v>
      </c>
      <c r="G20" s="35">
        <f t="shared" si="0"/>
        <v>9</v>
      </c>
      <c r="H20" s="73"/>
    </row>
    <row r="21" spans="1:9" ht="15" thickBot="1">
      <c r="A21" s="56" t="s">
        <v>26</v>
      </c>
      <c r="B21" s="57">
        <v>0</v>
      </c>
      <c r="C21" s="57">
        <v>0</v>
      </c>
      <c r="D21" s="57">
        <v>4</v>
      </c>
      <c r="E21" s="57">
        <v>4</v>
      </c>
      <c r="F21" s="57">
        <v>7</v>
      </c>
      <c r="G21" s="45">
        <f t="shared" si="0"/>
        <v>15</v>
      </c>
      <c r="H21" s="74"/>
    </row>
    <row r="22" spans="1:9">
      <c r="A22" s="58" t="s">
        <v>27</v>
      </c>
      <c r="B22" s="47"/>
      <c r="C22" s="47"/>
      <c r="D22" s="47"/>
      <c r="E22" s="47"/>
      <c r="F22" s="47"/>
      <c r="G22" s="48">
        <f t="shared" si="0"/>
        <v>0</v>
      </c>
      <c r="H22" s="75">
        <f>SUM(G22:G24)</f>
        <v>0</v>
      </c>
    </row>
    <row r="23" spans="1:9" ht="15" thickBot="1">
      <c r="A23" s="59" t="s">
        <v>28</v>
      </c>
      <c r="B23" s="51"/>
      <c r="C23" s="51"/>
      <c r="D23" s="51"/>
      <c r="E23" s="51"/>
      <c r="F23" s="51"/>
      <c r="G23" s="52">
        <f t="shared" si="0"/>
        <v>0</v>
      </c>
      <c r="H23" s="76"/>
    </row>
    <row r="24" spans="1:9" ht="15" thickBot="1">
      <c r="A24" s="15"/>
      <c r="B24" s="1"/>
      <c r="C24" s="1"/>
      <c r="D24" s="1"/>
      <c r="E24" s="1"/>
      <c r="F24" s="1"/>
      <c r="G24" s="77"/>
      <c r="H24" s="77"/>
    </row>
    <row r="25" spans="1:9" ht="15" thickBot="1">
      <c r="A25" s="26" t="s">
        <v>29</v>
      </c>
      <c r="B25" s="21">
        <f>SUM(B2:B23)</f>
        <v>10</v>
      </c>
      <c r="C25" s="22">
        <f>SUM(C2:C23)</f>
        <v>19</v>
      </c>
      <c r="D25" s="22">
        <f>SUM(D2:D23)</f>
        <v>56</v>
      </c>
      <c r="E25" s="23">
        <f>SUM(E2:E23)</f>
        <v>178</v>
      </c>
      <c r="F25" s="24">
        <f>SUM(F2:F23)</f>
        <v>186</v>
      </c>
      <c r="G25" s="16" t="s">
        <v>30</v>
      </c>
      <c r="H25" s="19">
        <f>SUM(G2:G23)</f>
        <v>449</v>
      </c>
    </row>
    <row r="26" spans="1:9" ht="15" thickBot="1">
      <c r="A26" s="25" t="s">
        <v>31</v>
      </c>
      <c r="B26" s="27">
        <f>AVERAGE(B2:B23)</f>
        <v>0.5</v>
      </c>
      <c r="C26" s="28">
        <f>AVERAGE(C2:C23)</f>
        <v>0.95</v>
      </c>
      <c r="D26" s="28">
        <f>AVERAGE(D2:D23)</f>
        <v>2.8</v>
      </c>
      <c r="E26" s="29">
        <f>AVERAGE(E2:E23)</f>
        <v>8.9</v>
      </c>
      <c r="F26" s="30">
        <f>AVERAGE(F2:F23)</f>
        <v>9.3000000000000007</v>
      </c>
      <c r="G26" s="17" t="s">
        <v>32</v>
      </c>
      <c r="H26" s="18">
        <f>SUM(B25*1,C25*2,D25*3,E25*4,F25*5)/H25</f>
        <v>4.138084632516704</v>
      </c>
    </row>
    <row r="27" spans="1:9" ht="15" thickBot="1">
      <c r="G27" s="31" t="s">
        <v>33</v>
      </c>
      <c r="H27" s="32">
        <f>'SEMANA 42'!H26</f>
        <v>3.6861063464837049</v>
      </c>
      <c r="I27" s="33" t="str">
        <f>_xlfn.CONCAT("", (H26-H27)/H27, "%")</f>
        <v>0,122616724410069%</v>
      </c>
    </row>
  </sheetData>
  <mergeCells count="7">
    <mergeCell ref="G24:H24"/>
    <mergeCell ref="H2:H5"/>
    <mergeCell ref="H6:H9"/>
    <mergeCell ref="H10:H13"/>
    <mergeCell ref="H14:H17"/>
    <mergeCell ref="H18:H21"/>
    <mergeCell ref="H22:H23"/>
  </mergeCells>
  <pageMargins left="0.511811024" right="0.511811024" top="0.78740157499999996" bottom="0.78740157499999996" header="0.31496062000000002" footer="0.31496062000000002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74F08-C09E-49B2-AFDC-26A7999A926A}">
  <dimension ref="A1:I27"/>
  <sheetViews>
    <sheetView zoomScaleNormal="100" workbookViewId="0">
      <selection activeCell="H28" sqref="H28"/>
    </sheetView>
  </sheetViews>
  <sheetFormatPr defaultRowHeight="14.45"/>
  <cols>
    <col min="1" max="1" width="24.42578125" customWidth="1"/>
    <col min="2" max="2" width="4.140625" bestFit="1" customWidth="1"/>
    <col min="3" max="3" width="7" bestFit="1" customWidth="1"/>
    <col min="4" max="4" width="9.85546875" bestFit="1" customWidth="1"/>
    <col min="5" max="5" width="12.7109375" bestFit="1" customWidth="1"/>
    <col min="6" max="6" width="15.7109375" bestFit="1" customWidth="1"/>
    <col min="7" max="7" width="33.7109375" customWidth="1"/>
    <col min="8" max="8" width="26.85546875" bestFit="1" customWidth="1"/>
    <col min="9" max="9" width="27.7109375" customWidth="1"/>
  </cols>
  <sheetData>
    <row r="1" spans="1:8" ht="15" thickBot="1">
      <c r="B1" s="4" t="s">
        <v>0</v>
      </c>
      <c r="C1" s="5" t="s">
        <v>1</v>
      </c>
      <c r="D1" s="6" t="s">
        <v>2</v>
      </c>
      <c r="E1" s="7" t="s">
        <v>3</v>
      </c>
      <c r="F1" s="8" t="s">
        <v>4</v>
      </c>
      <c r="G1" s="2" t="s">
        <v>5</v>
      </c>
      <c r="H1" s="3" t="s">
        <v>6</v>
      </c>
    </row>
    <row r="2" spans="1:8">
      <c r="A2" s="39" t="s">
        <v>7</v>
      </c>
      <c r="B2" s="40"/>
      <c r="C2" s="40"/>
      <c r="D2" s="40"/>
      <c r="E2" s="40"/>
      <c r="F2" s="40"/>
      <c r="G2" s="41">
        <f>SUM(B2:F2)</f>
        <v>0</v>
      </c>
      <c r="H2" s="78">
        <f>SUM(G2:G5)</f>
        <v>0</v>
      </c>
    </row>
    <row r="3" spans="1:8">
      <c r="A3" s="42" t="s">
        <v>8</v>
      </c>
      <c r="B3" s="34"/>
      <c r="C3" s="34"/>
      <c r="D3" s="34"/>
      <c r="E3" s="34"/>
      <c r="F3" s="34"/>
      <c r="G3" s="35">
        <f>SUM(B3:F3)</f>
        <v>0</v>
      </c>
      <c r="H3" s="79"/>
    </row>
    <row r="4" spans="1:8">
      <c r="A4" s="42" t="s">
        <v>9</v>
      </c>
      <c r="B4" s="34"/>
      <c r="C4" s="34"/>
      <c r="D4" s="34"/>
      <c r="E4" s="34"/>
      <c r="F4" s="34"/>
      <c r="G4" s="35">
        <f t="shared" ref="G4:G23" si="0">SUM(B4:F4)</f>
        <v>0</v>
      </c>
      <c r="H4" s="79"/>
    </row>
    <row r="5" spans="1:8" ht="15" thickBot="1">
      <c r="A5" s="43" t="s">
        <v>10</v>
      </c>
      <c r="B5" s="44"/>
      <c r="C5" s="44"/>
      <c r="D5" s="44"/>
      <c r="E5" s="44"/>
      <c r="F5" s="44"/>
      <c r="G5" s="45">
        <f t="shared" si="0"/>
        <v>0</v>
      </c>
      <c r="H5" s="80"/>
    </row>
    <row r="6" spans="1:8">
      <c r="A6" s="46" t="s">
        <v>11</v>
      </c>
      <c r="B6" s="47">
        <v>1</v>
      </c>
      <c r="C6" s="47">
        <v>0</v>
      </c>
      <c r="D6" s="47">
        <v>0</v>
      </c>
      <c r="E6" s="47">
        <v>7</v>
      </c>
      <c r="F6" s="47">
        <v>5</v>
      </c>
      <c r="G6" s="48">
        <f t="shared" si="0"/>
        <v>13</v>
      </c>
      <c r="H6" s="69">
        <f>SUM(G6:G9)</f>
        <v>82</v>
      </c>
    </row>
    <row r="7" spans="1:8">
      <c r="A7" s="49" t="s">
        <v>12</v>
      </c>
      <c r="B7" s="36">
        <v>0</v>
      </c>
      <c r="C7" s="36">
        <v>4</v>
      </c>
      <c r="D7" s="36">
        <v>6</v>
      </c>
      <c r="E7" s="36">
        <v>14</v>
      </c>
      <c r="F7" s="36">
        <v>4</v>
      </c>
      <c r="G7" s="37">
        <f t="shared" si="0"/>
        <v>28</v>
      </c>
      <c r="H7" s="70"/>
    </row>
    <row r="8" spans="1:8">
      <c r="A8" s="49" t="s">
        <v>13</v>
      </c>
      <c r="B8" s="36">
        <v>0</v>
      </c>
      <c r="C8" s="36">
        <v>0</v>
      </c>
      <c r="D8" s="36">
        <v>4</v>
      </c>
      <c r="E8" s="36">
        <v>7</v>
      </c>
      <c r="F8" s="36">
        <v>2</v>
      </c>
      <c r="G8" s="37">
        <f t="shared" si="0"/>
        <v>13</v>
      </c>
      <c r="H8" s="70"/>
    </row>
    <row r="9" spans="1:8" ht="15" thickBot="1">
      <c r="A9" s="50" t="s">
        <v>14</v>
      </c>
      <c r="B9" s="51">
        <v>0</v>
      </c>
      <c r="C9" s="51">
        <v>1</v>
      </c>
      <c r="D9" s="51">
        <v>1</v>
      </c>
      <c r="E9" s="51">
        <v>17</v>
      </c>
      <c r="F9" s="51">
        <v>9</v>
      </c>
      <c r="G9" s="52">
        <f t="shared" si="0"/>
        <v>28</v>
      </c>
      <c r="H9" s="71"/>
    </row>
    <row r="10" spans="1:8">
      <c r="A10" s="53" t="s">
        <v>15</v>
      </c>
      <c r="B10" s="54">
        <v>0</v>
      </c>
      <c r="C10" s="54">
        <v>1</v>
      </c>
      <c r="D10" s="54">
        <v>3</v>
      </c>
      <c r="E10" s="54">
        <v>15</v>
      </c>
      <c r="F10" s="54">
        <v>1</v>
      </c>
      <c r="G10" s="41">
        <f t="shared" si="0"/>
        <v>20</v>
      </c>
      <c r="H10" s="72">
        <f>SUM(G10:G13)</f>
        <v>134</v>
      </c>
    </row>
    <row r="11" spans="1:8">
      <c r="A11" s="55" t="s">
        <v>16</v>
      </c>
      <c r="B11" s="38">
        <v>3</v>
      </c>
      <c r="C11" s="38">
        <v>1</v>
      </c>
      <c r="D11" s="38">
        <v>9</v>
      </c>
      <c r="E11" s="38">
        <v>17</v>
      </c>
      <c r="F11" s="38">
        <v>10</v>
      </c>
      <c r="G11" s="35">
        <f t="shared" si="0"/>
        <v>40</v>
      </c>
      <c r="H11" s="73"/>
    </row>
    <row r="12" spans="1:8">
      <c r="A12" s="55" t="s">
        <v>17</v>
      </c>
      <c r="B12" s="38">
        <v>1</v>
      </c>
      <c r="C12" s="38">
        <v>1</v>
      </c>
      <c r="D12" s="38">
        <v>1</v>
      </c>
      <c r="E12" s="38">
        <v>0</v>
      </c>
      <c r="F12" s="38">
        <v>20</v>
      </c>
      <c r="G12" s="35">
        <f t="shared" si="0"/>
        <v>23</v>
      </c>
      <c r="H12" s="73"/>
    </row>
    <row r="13" spans="1:8" ht="15" thickBot="1">
      <c r="A13" s="56" t="s">
        <v>18</v>
      </c>
      <c r="B13" s="57">
        <v>0</v>
      </c>
      <c r="C13" s="57">
        <v>0</v>
      </c>
      <c r="D13" s="57">
        <v>1</v>
      </c>
      <c r="E13" s="57">
        <v>7</v>
      </c>
      <c r="F13" s="57">
        <v>43</v>
      </c>
      <c r="G13" s="45">
        <f t="shared" si="0"/>
        <v>51</v>
      </c>
      <c r="H13" s="74"/>
    </row>
    <row r="14" spans="1:8">
      <c r="A14" s="46" t="s">
        <v>19</v>
      </c>
      <c r="B14" s="47">
        <v>0</v>
      </c>
      <c r="C14" s="47">
        <v>1</v>
      </c>
      <c r="D14" s="47">
        <v>0</v>
      </c>
      <c r="E14" s="47">
        <v>3</v>
      </c>
      <c r="F14" s="47">
        <v>8</v>
      </c>
      <c r="G14" s="48">
        <f t="shared" si="0"/>
        <v>12</v>
      </c>
      <c r="H14" s="69">
        <f>SUM(G14:G17)</f>
        <v>80</v>
      </c>
    </row>
    <row r="15" spans="1:8">
      <c r="A15" s="49" t="s">
        <v>20</v>
      </c>
      <c r="B15" s="36">
        <v>2</v>
      </c>
      <c r="C15" s="36">
        <v>0</v>
      </c>
      <c r="D15" s="36">
        <v>1</v>
      </c>
      <c r="E15" s="36">
        <v>5</v>
      </c>
      <c r="F15" s="36">
        <v>17</v>
      </c>
      <c r="G15" s="37">
        <f t="shared" si="0"/>
        <v>25</v>
      </c>
      <c r="H15" s="70"/>
    </row>
    <row r="16" spans="1:8">
      <c r="A16" s="49" t="s">
        <v>21</v>
      </c>
      <c r="B16" s="36">
        <v>0</v>
      </c>
      <c r="C16" s="36">
        <v>2</v>
      </c>
      <c r="D16" s="36">
        <v>1</v>
      </c>
      <c r="E16" s="36">
        <v>3</v>
      </c>
      <c r="F16" s="36">
        <v>16</v>
      </c>
      <c r="G16" s="37">
        <f t="shared" si="0"/>
        <v>22</v>
      </c>
      <c r="H16" s="70"/>
    </row>
    <row r="17" spans="1:9" ht="15" thickBot="1">
      <c r="A17" s="50" t="s">
        <v>22</v>
      </c>
      <c r="B17" s="51">
        <v>0</v>
      </c>
      <c r="C17" s="51">
        <v>1</v>
      </c>
      <c r="D17" s="51">
        <v>0</v>
      </c>
      <c r="E17" s="51">
        <v>12</v>
      </c>
      <c r="F17" s="51">
        <v>8</v>
      </c>
      <c r="G17" s="52">
        <f t="shared" si="0"/>
        <v>21</v>
      </c>
      <c r="H17" s="71"/>
    </row>
    <row r="18" spans="1:9">
      <c r="A18" s="53" t="s">
        <v>23</v>
      </c>
      <c r="B18" s="54">
        <v>1</v>
      </c>
      <c r="C18" s="54">
        <v>3</v>
      </c>
      <c r="D18" s="54">
        <v>6</v>
      </c>
      <c r="E18" s="54">
        <v>3</v>
      </c>
      <c r="F18" s="54">
        <v>4</v>
      </c>
      <c r="G18" s="41">
        <f t="shared" si="0"/>
        <v>17</v>
      </c>
      <c r="H18" s="72">
        <f>SUM(G18:G21)</f>
        <v>71</v>
      </c>
    </row>
    <row r="19" spans="1:9">
      <c r="A19" s="55" t="s">
        <v>24</v>
      </c>
      <c r="B19" s="38">
        <v>1</v>
      </c>
      <c r="C19" s="38">
        <v>0</v>
      </c>
      <c r="D19" s="38">
        <v>9</v>
      </c>
      <c r="E19" s="38">
        <v>12</v>
      </c>
      <c r="F19" s="38">
        <v>5</v>
      </c>
      <c r="G19" s="35">
        <f t="shared" si="0"/>
        <v>27</v>
      </c>
      <c r="H19" s="73"/>
    </row>
    <row r="20" spans="1:9">
      <c r="A20" s="55" t="s">
        <v>25</v>
      </c>
      <c r="B20" s="38">
        <v>0</v>
      </c>
      <c r="C20" s="38">
        <v>0</v>
      </c>
      <c r="D20" s="38">
        <v>0</v>
      </c>
      <c r="E20" s="38">
        <v>1</v>
      </c>
      <c r="F20" s="38">
        <v>5</v>
      </c>
      <c r="G20" s="35">
        <f t="shared" si="0"/>
        <v>6</v>
      </c>
      <c r="H20" s="73"/>
    </row>
    <row r="21" spans="1:9" ht="15" thickBot="1">
      <c r="A21" s="56" t="s">
        <v>26</v>
      </c>
      <c r="B21" s="57">
        <v>1</v>
      </c>
      <c r="C21" s="57">
        <v>0</v>
      </c>
      <c r="D21" s="57">
        <v>1</v>
      </c>
      <c r="E21" s="57">
        <v>6</v>
      </c>
      <c r="F21" s="57">
        <v>13</v>
      </c>
      <c r="G21" s="45">
        <f t="shared" si="0"/>
        <v>21</v>
      </c>
      <c r="H21" s="74"/>
    </row>
    <row r="22" spans="1:9">
      <c r="A22" s="58" t="s">
        <v>27</v>
      </c>
      <c r="B22" s="47"/>
      <c r="C22" s="47"/>
      <c r="D22" s="47"/>
      <c r="E22" s="47"/>
      <c r="F22" s="47"/>
      <c r="G22" s="48">
        <f t="shared" si="0"/>
        <v>0</v>
      </c>
      <c r="H22" s="75">
        <f>SUM(G22:G24)</f>
        <v>0</v>
      </c>
    </row>
    <row r="23" spans="1:9" ht="15" thickBot="1">
      <c r="A23" s="59" t="s">
        <v>28</v>
      </c>
      <c r="B23" s="51"/>
      <c r="C23" s="51"/>
      <c r="D23" s="51"/>
      <c r="E23" s="51"/>
      <c r="F23" s="51"/>
      <c r="G23" s="52">
        <f t="shared" si="0"/>
        <v>0</v>
      </c>
      <c r="H23" s="76"/>
    </row>
    <row r="24" spans="1:9" ht="15" thickBot="1">
      <c r="A24" s="15"/>
      <c r="B24" s="1"/>
      <c r="C24" s="1"/>
      <c r="D24" s="1"/>
      <c r="E24" s="1"/>
      <c r="F24" s="1"/>
      <c r="G24" s="77"/>
      <c r="H24" s="77"/>
    </row>
    <row r="25" spans="1:9" ht="15" thickBot="1">
      <c r="A25" s="26" t="s">
        <v>29</v>
      </c>
      <c r="B25" s="21">
        <f>SUM(B2:B23)</f>
        <v>10</v>
      </c>
      <c r="C25" s="22">
        <f>SUM(C2:C23)</f>
        <v>15</v>
      </c>
      <c r="D25" s="22">
        <f>SUM(D2:D23)</f>
        <v>43</v>
      </c>
      <c r="E25" s="23">
        <f>SUM(E2:E23)</f>
        <v>129</v>
      </c>
      <c r="F25" s="24">
        <f>SUM(F2:F23)</f>
        <v>170</v>
      </c>
      <c r="G25" s="16" t="s">
        <v>30</v>
      </c>
      <c r="H25" s="19">
        <f>SUM(G2:G23)</f>
        <v>367</v>
      </c>
    </row>
    <row r="26" spans="1:9" ht="15" thickBot="1">
      <c r="A26" s="25" t="s">
        <v>31</v>
      </c>
      <c r="B26" s="27">
        <f>AVERAGE(B2:B23)</f>
        <v>0.625</v>
      </c>
      <c r="C26" s="28">
        <f>AVERAGE(C2:C23)</f>
        <v>0.9375</v>
      </c>
      <c r="D26" s="28">
        <f>AVERAGE(D2:D23)</f>
        <v>2.6875</v>
      </c>
      <c r="E26" s="29">
        <f>AVERAGE(E2:E23)</f>
        <v>8.0625</v>
      </c>
      <c r="F26" s="30">
        <f>AVERAGE(F2:F23)</f>
        <v>10.625</v>
      </c>
      <c r="G26" s="17" t="s">
        <v>32</v>
      </c>
      <c r="H26" s="18">
        <f>SUM(B25*1,C25*2,D25*3,E25*4,F25*5)/H25</f>
        <v>4.1825613079019073</v>
      </c>
    </row>
    <row r="27" spans="1:9" ht="15" thickBot="1">
      <c r="G27" s="31" t="s">
        <v>33</v>
      </c>
      <c r="H27" s="32">
        <f>'SEMANA 43'!H26</f>
        <v>4.138084632516704</v>
      </c>
      <c r="I27" s="33" t="str">
        <f>_xlfn.CONCAT("", (H26-H27)/H27, "%")</f>
        <v>0,0107481309192445%</v>
      </c>
    </row>
  </sheetData>
  <mergeCells count="7">
    <mergeCell ref="G24:H24"/>
    <mergeCell ref="H2:H5"/>
    <mergeCell ref="H6:H9"/>
    <mergeCell ref="H10:H13"/>
    <mergeCell ref="H14:H17"/>
    <mergeCell ref="H18:H21"/>
    <mergeCell ref="H22:H23"/>
  </mergeCells>
  <pageMargins left="0.511811024" right="0.511811024" top="0.78740157499999996" bottom="0.78740157499999996" header="0.31496062000000002" footer="0.31496062000000002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1B658-D2E9-43D7-B331-657AB6ADD7CB}">
  <dimension ref="A1:I27"/>
  <sheetViews>
    <sheetView zoomScaleNormal="100" workbookViewId="0">
      <selection activeCell="H28" sqref="H28"/>
    </sheetView>
  </sheetViews>
  <sheetFormatPr defaultRowHeight="14.45"/>
  <cols>
    <col min="1" max="1" width="24.42578125" customWidth="1"/>
    <col min="2" max="2" width="4.140625" bestFit="1" customWidth="1"/>
    <col min="3" max="3" width="7" bestFit="1" customWidth="1"/>
    <col min="4" max="4" width="9.85546875" bestFit="1" customWidth="1"/>
    <col min="5" max="5" width="12.7109375" bestFit="1" customWidth="1"/>
    <col min="6" max="6" width="15.7109375" bestFit="1" customWidth="1"/>
    <col min="7" max="7" width="33.7109375" customWidth="1"/>
    <col min="8" max="8" width="26.85546875" bestFit="1" customWidth="1"/>
    <col min="9" max="9" width="27.7109375" customWidth="1"/>
  </cols>
  <sheetData>
    <row r="1" spans="1:8" ht="15" thickBot="1">
      <c r="B1" s="4" t="s">
        <v>0</v>
      </c>
      <c r="C1" s="5" t="s">
        <v>1</v>
      </c>
      <c r="D1" s="6" t="s">
        <v>2</v>
      </c>
      <c r="E1" s="7" t="s">
        <v>3</v>
      </c>
      <c r="F1" s="8" t="s">
        <v>4</v>
      </c>
      <c r="G1" s="2" t="s">
        <v>5</v>
      </c>
      <c r="H1" s="3" t="s">
        <v>6</v>
      </c>
    </row>
    <row r="2" spans="1:8">
      <c r="A2" s="39" t="s">
        <v>7</v>
      </c>
      <c r="B2" s="40">
        <v>1</v>
      </c>
      <c r="C2" s="40">
        <v>3</v>
      </c>
      <c r="D2" s="40">
        <v>2</v>
      </c>
      <c r="E2" s="40">
        <v>7</v>
      </c>
      <c r="F2" s="40">
        <v>6</v>
      </c>
      <c r="G2" s="41">
        <f>SUM(B2:F2)</f>
        <v>19</v>
      </c>
      <c r="H2" s="78">
        <f>SUM(G2:G5)</f>
        <v>48</v>
      </c>
    </row>
    <row r="3" spans="1:8">
      <c r="A3" s="42" t="s">
        <v>8</v>
      </c>
      <c r="B3" s="34">
        <v>0</v>
      </c>
      <c r="C3" s="34">
        <v>0</v>
      </c>
      <c r="D3" s="34">
        <v>4</v>
      </c>
      <c r="E3" s="34">
        <v>10</v>
      </c>
      <c r="F3" s="34">
        <v>15</v>
      </c>
      <c r="G3" s="35">
        <f>SUM(B3:F3)</f>
        <v>29</v>
      </c>
      <c r="H3" s="79"/>
    </row>
    <row r="4" spans="1:8">
      <c r="A4" s="42" t="s">
        <v>9</v>
      </c>
      <c r="B4" s="34"/>
      <c r="C4" s="34"/>
      <c r="D4" s="34"/>
      <c r="E4" s="34"/>
      <c r="F4" s="34"/>
      <c r="G4" s="35">
        <f t="shared" ref="G4:G23" si="0">SUM(B4:F4)</f>
        <v>0</v>
      </c>
      <c r="H4" s="79"/>
    </row>
    <row r="5" spans="1:8" ht="15" thickBot="1">
      <c r="A5" s="43" t="s">
        <v>10</v>
      </c>
      <c r="B5" s="44"/>
      <c r="C5" s="44"/>
      <c r="D5" s="44"/>
      <c r="E5" s="44"/>
      <c r="F5" s="44"/>
      <c r="G5" s="45">
        <f t="shared" si="0"/>
        <v>0</v>
      </c>
      <c r="H5" s="80"/>
    </row>
    <row r="6" spans="1:8">
      <c r="A6" s="46" t="s">
        <v>11</v>
      </c>
      <c r="B6" s="47">
        <v>0</v>
      </c>
      <c r="C6" s="47">
        <v>0</v>
      </c>
      <c r="D6" s="47">
        <v>7</v>
      </c>
      <c r="E6" s="47">
        <v>3</v>
      </c>
      <c r="F6" s="47">
        <v>1</v>
      </c>
      <c r="G6" s="48">
        <f t="shared" si="0"/>
        <v>11</v>
      </c>
      <c r="H6" s="69">
        <f>SUM(G6:G9)</f>
        <v>83</v>
      </c>
    </row>
    <row r="7" spans="1:8">
      <c r="A7" s="49" t="s">
        <v>12</v>
      </c>
      <c r="B7" s="36">
        <v>1</v>
      </c>
      <c r="C7" s="36">
        <v>4</v>
      </c>
      <c r="D7" s="36">
        <v>5</v>
      </c>
      <c r="E7" s="36">
        <v>10</v>
      </c>
      <c r="F7" s="36">
        <v>5</v>
      </c>
      <c r="G7" s="37">
        <f t="shared" si="0"/>
        <v>25</v>
      </c>
      <c r="H7" s="70"/>
    </row>
    <row r="8" spans="1:8">
      <c r="A8" s="49" t="s">
        <v>13</v>
      </c>
      <c r="B8" s="36">
        <v>1</v>
      </c>
      <c r="C8" s="36">
        <v>2</v>
      </c>
      <c r="D8" s="36">
        <v>1</v>
      </c>
      <c r="E8" s="36">
        <v>5</v>
      </c>
      <c r="F8" s="36">
        <v>7</v>
      </c>
      <c r="G8" s="37">
        <f t="shared" si="0"/>
        <v>16</v>
      </c>
      <c r="H8" s="70"/>
    </row>
    <row r="9" spans="1:8" ht="15" thickBot="1">
      <c r="A9" s="50" t="s">
        <v>14</v>
      </c>
      <c r="B9" s="51">
        <v>0</v>
      </c>
      <c r="C9" s="51">
        <v>0</v>
      </c>
      <c r="D9" s="51">
        <v>7</v>
      </c>
      <c r="E9" s="51">
        <v>11</v>
      </c>
      <c r="F9" s="51">
        <v>13</v>
      </c>
      <c r="G9" s="52">
        <f t="shared" si="0"/>
        <v>31</v>
      </c>
      <c r="H9" s="71"/>
    </row>
    <row r="10" spans="1:8">
      <c r="A10" s="53" t="s">
        <v>15</v>
      </c>
      <c r="B10" s="54">
        <v>0</v>
      </c>
      <c r="C10" s="54">
        <v>2</v>
      </c>
      <c r="D10" s="54">
        <v>5</v>
      </c>
      <c r="E10" s="54">
        <v>5</v>
      </c>
      <c r="F10" s="54">
        <v>6</v>
      </c>
      <c r="G10" s="41">
        <f t="shared" si="0"/>
        <v>18</v>
      </c>
      <c r="H10" s="72">
        <f>SUM(G10:G13)</f>
        <v>70</v>
      </c>
    </row>
    <row r="11" spans="1:8">
      <c r="A11" s="55" t="s">
        <v>16</v>
      </c>
      <c r="B11" s="38">
        <v>3</v>
      </c>
      <c r="C11" s="38">
        <v>6</v>
      </c>
      <c r="D11" s="38">
        <v>1</v>
      </c>
      <c r="E11" s="38">
        <v>4</v>
      </c>
      <c r="F11" s="38">
        <v>7</v>
      </c>
      <c r="G11" s="35">
        <f t="shared" si="0"/>
        <v>21</v>
      </c>
      <c r="H11" s="73"/>
    </row>
    <row r="12" spans="1:8">
      <c r="A12" s="55" t="s">
        <v>17</v>
      </c>
      <c r="B12" s="38">
        <v>0</v>
      </c>
      <c r="C12" s="38">
        <v>0</v>
      </c>
      <c r="D12" s="38">
        <v>3</v>
      </c>
      <c r="E12" s="38">
        <v>4</v>
      </c>
      <c r="F12" s="38">
        <v>9</v>
      </c>
      <c r="G12" s="35">
        <f t="shared" si="0"/>
        <v>16</v>
      </c>
      <c r="H12" s="73"/>
    </row>
    <row r="13" spans="1:8" ht="15" thickBot="1">
      <c r="A13" s="56" t="s">
        <v>18</v>
      </c>
      <c r="B13" s="57">
        <v>0</v>
      </c>
      <c r="C13" s="57">
        <v>3</v>
      </c>
      <c r="D13" s="57">
        <v>1</v>
      </c>
      <c r="E13" s="57">
        <v>4</v>
      </c>
      <c r="F13" s="57">
        <v>7</v>
      </c>
      <c r="G13" s="45">
        <f t="shared" si="0"/>
        <v>15</v>
      </c>
      <c r="H13" s="74"/>
    </row>
    <row r="14" spans="1:8">
      <c r="A14" s="46" t="s">
        <v>19</v>
      </c>
      <c r="B14" s="47">
        <v>0</v>
      </c>
      <c r="C14" s="47">
        <v>0</v>
      </c>
      <c r="D14" s="47">
        <v>0</v>
      </c>
      <c r="E14" s="47">
        <v>4</v>
      </c>
      <c r="F14" s="47">
        <v>25</v>
      </c>
      <c r="G14" s="48">
        <f t="shared" si="0"/>
        <v>29</v>
      </c>
      <c r="H14" s="69">
        <f>SUM(G14:G17)</f>
        <v>97</v>
      </c>
    </row>
    <row r="15" spans="1:8">
      <c r="A15" s="49" t="s">
        <v>20</v>
      </c>
      <c r="B15" s="36">
        <v>0</v>
      </c>
      <c r="C15" s="36">
        <v>0</v>
      </c>
      <c r="D15" s="36">
        <v>2</v>
      </c>
      <c r="E15" s="36">
        <v>5</v>
      </c>
      <c r="F15" s="36">
        <v>12</v>
      </c>
      <c r="G15" s="37">
        <f t="shared" si="0"/>
        <v>19</v>
      </c>
      <c r="H15" s="70"/>
    </row>
    <row r="16" spans="1:8">
      <c r="A16" s="49" t="s">
        <v>21</v>
      </c>
      <c r="B16" s="36">
        <v>0</v>
      </c>
      <c r="C16" s="36">
        <v>0</v>
      </c>
      <c r="D16" s="36">
        <v>1</v>
      </c>
      <c r="E16" s="36">
        <v>2</v>
      </c>
      <c r="F16" s="36">
        <v>16</v>
      </c>
      <c r="G16" s="37">
        <f t="shared" si="0"/>
        <v>19</v>
      </c>
      <c r="H16" s="70"/>
    </row>
    <row r="17" spans="1:9" ht="15" thickBot="1">
      <c r="A17" s="50" t="s">
        <v>22</v>
      </c>
      <c r="B17" s="51">
        <v>0</v>
      </c>
      <c r="C17" s="51">
        <v>1</v>
      </c>
      <c r="D17" s="51">
        <v>2</v>
      </c>
      <c r="E17" s="51">
        <v>2</v>
      </c>
      <c r="F17" s="51">
        <v>25</v>
      </c>
      <c r="G17" s="52">
        <f t="shared" si="0"/>
        <v>30</v>
      </c>
      <c r="H17" s="71"/>
    </row>
    <row r="18" spans="1:9">
      <c r="A18" s="53" t="s">
        <v>23</v>
      </c>
      <c r="B18" s="54">
        <v>0</v>
      </c>
      <c r="C18" s="54">
        <v>0</v>
      </c>
      <c r="D18" s="54">
        <v>0</v>
      </c>
      <c r="E18" s="54">
        <v>4</v>
      </c>
      <c r="F18" s="54">
        <v>10</v>
      </c>
      <c r="G18" s="41">
        <f t="shared" si="0"/>
        <v>14</v>
      </c>
      <c r="H18" s="72">
        <f>SUM(G18:G21)</f>
        <v>62</v>
      </c>
    </row>
    <row r="19" spans="1:9">
      <c r="A19" s="55" t="s">
        <v>24</v>
      </c>
      <c r="B19" s="38">
        <v>1</v>
      </c>
      <c r="C19" s="38">
        <v>0</v>
      </c>
      <c r="D19" s="38">
        <v>1</v>
      </c>
      <c r="E19" s="38">
        <v>9</v>
      </c>
      <c r="F19" s="38">
        <v>5</v>
      </c>
      <c r="G19" s="35">
        <f t="shared" si="0"/>
        <v>16</v>
      </c>
      <c r="H19" s="73"/>
    </row>
    <row r="20" spans="1:9">
      <c r="A20" s="55" t="s">
        <v>25</v>
      </c>
      <c r="B20" s="38">
        <v>1</v>
      </c>
      <c r="C20" s="38">
        <v>1</v>
      </c>
      <c r="D20" s="38">
        <v>4</v>
      </c>
      <c r="E20" s="38">
        <v>5</v>
      </c>
      <c r="F20" s="38">
        <v>3</v>
      </c>
      <c r="G20" s="35">
        <f t="shared" si="0"/>
        <v>14</v>
      </c>
      <c r="H20" s="73"/>
    </row>
    <row r="21" spans="1:9" ht="15" thickBot="1">
      <c r="A21" s="56" t="s">
        <v>26</v>
      </c>
      <c r="B21" s="57">
        <v>0</v>
      </c>
      <c r="C21" s="57">
        <v>0</v>
      </c>
      <c r="D21" s="57">
        <v>2</v>
      </c>
      <c r="E21" s="57">
        <v>3</v>
      </c>
      <c r="F21" s="57">
        <v>13</v>
      </c>
      <c r="G21" s="45">
        <f t="shared" si="0"/>
        <v>18</v>
      </c>
      <c r="H21" s="74"/>
    </row>
    <row r="22" spans="1:9">
      <c r="A22" s="58" t="s">
        <v>27</v>
      </c>
      <c r="B22" s="47">
        <v>0</v>
      </c>
      <c r="C22" s="47">
        <v>0</v>
      </c>
      <c r="D22" s="47">
        <v>0</v>
      </c>
      <c r="E22" s="47">
        <v>3</v>
      </c>
      <c r="F22" s="47">
        <v>6</v>
      </c>
      <c r="G22" s="48">
        <f t="shared" si="0"/>
        <v>9</v>
      </c>
      <c r="H22" s="75">
        <f>SUM(G22:G24)</f>
        <v>19</v>
      </c>
    </row>
    <row r="23" spans="1:9" ht="15" thickBot="1">
      <c r="A23" s="59" t="s">
        <v>28</v>
      </c>
      <c r="B23" s="51">
        <v>0</v>
      </c>
      <c r="C23" s="51">
        <v>0</v>
      </c>
      <c r="D23" s="51">
        <v>0</v>
      </c>
      <c r="E23" s="51">
        <v>0</v>
      </c>
      <c r="F23" s="51">
        <v>10</v>
      </c>
      <c r="G23" s="52">
        <f t="shared" si="0"/>
        <v>10</v>
      </c>
      <c r="H23" s="76"/>
    </row>
    <row r="24" spans="1:9" ht="15" thickBot="1">
      <c r="A24" s="15"/>
      <c r="B24" s="1"/>
      <c r="C24" s="1"/>
      <c r="D24" s="1"/>
      <c r="E24" s="1"/>
      <c r="F24" s="1"/>
      <c r="G24" s="77"/>
      <c r="H24" s="77"/>
    </row>
    <row r="25" spans="1:9" ht="15" thickBot="1">
      <c r="A25" s="26" t="s">
        <v>29</v>
      </c>
      <c r="B25" s="21">
        <f>SUM(B2:B23)</f>
        <v>8</v>
      </c>
      <c r="C25" s="22">
        <f>SUM(C2:C23)</f>
        <v>22</v>
      </c>
      <c r="D25" s="22">
        <f>SUM(D2:D23)</f>
        <v>48</v>
      </c>
      <c r="E25" s="23">
        <f>SUM(E2:E23)</f>
        <v>100</v>
      </c>
      <c r="F25" s="24">
        <f>SUM(F2:F23)</f>
        <v>201</v>
      </c>
      <c r="G25" s="16" t="s">
        <v>30</v>
      </c>
      <c r="H25" s="19">
        <f>SUM(G2:G23)</f>
        <v>379</v>
      </c>
    </row>
    <row r="26" spans="1:9" ht="15" thickBot="1">
      <c r="A26" s="25" t="s">
        <v>31</v>
      </c>
      <c r="B26" s="27">
        <f>AVERAGE(B2:B23)</f>
        <v>0.4</v>
      </c>
      <c r="C26" s="28">
        <f>AVERAGE(C2:C23)</f>
        <v>1.1000000000000001</v>
      </c>
      <c r="D26" s="28">
        <f>AVERAGE(D2:D23)</f>
        <v>2.4</v>
      </c>
      <c r="E26" s="29">
        <f>AVERAGE(E2:E23)</f>
        <v>5</v>
      </c>
      <c r="F26" s="30">
        <f>AVERAGE(F2:F23)</f>
        <v>10.050000000000001</v>
      </c>
      <c r="G26" s="17" t="s">
        <v>32</v>
      </c>
      <c r="H26" s="18">
        <f>SUM(B25*1,C25*2,D25*3,E25*4,F25*5)/H25</f>
        <v>4.2242744063324542</v>
      </c>
    </row>
    <row r="27" spans="1:9" ht="15" thickBot="1">
      <c r="G27" s="31" t="s">
        <v>33</v>
      </c>
      <c r="H27" s="32">
        <f>'SEMANA 44'!H26</f>
        <v>4.1825613079019073</v>
      </c>
      <c r="I27" s="33" t="str">
        <f>_xlfn.CONCAT("", (H26-H27)/H27, "%")</f>
        <v>0,00997309910359005%</v>
      </c>
    </row>
  </sheetData>
  <mergeCells count="7">
    <mergeCell ref="G24:H24"/>
    <mergeCell ref="H2:H5"/>
    <mergeCell ref="H6:H9"/>
    <mergeCell ref="H10:H13"/>
    <mergeCell ref="H14:H17"/>
    <mergeCell ref="H18:H21"/>
    <mergeCell ref="H22:H23"/>
  </mergeCells>
  <pageMargins left="0.511811024" right="0.511811024" top="0.78740157499999996" bottom="0.78740157499999996" header="0.31496062000000002" footer="0.31496062000000002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1F3F91BDD91824590ED58DB73FB1AA8" ma:contentTypeVersion="8" ma:contentTypeDescription="Crie um novo documento." ma:contentTypeScope="" ma:versionID="99fb6f702ca3e6c3421816729abc449b">
  <xsd:schema xmlns:xsd="http://www.w3.org/2001/XMLSchema" xmlns:xs="http://www.w3.org/2001/XMLSchema" xmlns:p="http://schemas.microsoft.com/office/2006/metadata/properties" xmlns:ns3="bafb03e3-0cf0-41e6-a025-0ee5c9ed85bf" xmlns:ns4="39612499-902e-4b91-9d03-a74f51ed2691" targetNamespace="http://schemas.microsoft.com/office/2006/metadata/properties" ma:root="true" ma:fieldsID="cef2f77b5cee3af911fca9c84b41f9fa" ns3:_="" ns4:_="">
    <xsd:import namespace="bafb03e3-0cf0-41e6-a025-0ee5c9ed85bf"/>
    <xsd:import namespace="39612499-902e-4b91-9d03-a74f51ed2691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fb03e3-0cf0-41e6-a025-0ee5c9ed85bf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612499-902e-4b91-9d03-a74f51ed2691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1" nillable="true" ma:displayName="Hash de Dica de Compartilhamento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afb03e3-0cf0-41e6-a025-0ee5c9ed85bf" xsi:nil="true"/>
  </documentManagement>
</p:properties>
</file>

<file path=customXml/item4.xml>��
</file>

<file path=customXml/itemProps1.xml><?xml version="1.0" encoding="utf-8"?>
<ds:datastoreItem xmlns:ds="http://schemas.openxmlformats.org/officeDocument/2006/customXml" ds:itemID="{00029E7F-E4A9-45A0-ADA1-CA88C54DA912}"/>
</file>

<file path=customXml/itemProps2.xml><?xml version="1.0" encoding="utf-8"?>
<ds:datastoreItem xmlns:ds="http://schemas.openxmlformats.org/officeDocument/2006/customXml" ds:itemID="{FE88FF68-2AC0-4E57-B4EF-2EB13A7E425E}"/>
</file>

<file path=customXml/itemProps3.xml><?xml version="1.0" encoding="utf-8"?>
<ds:datastoreItem xmlns:ds="http://schemas.openxmlformats.org/officeDocument/2006/customXml" ds:itemID="{B953AD49-7F07-4C1A-A541-71DF0FB2B40F}"/>
</file>

<file path=customXml/itemProps4.xml><?xml version="1.0" encoding="utf-8"?>
<ds:datastoreItem xmlns:ds="http://schemas.openxmlformats.org/officeDocument/2006/customXml" ds:itemID="{32714D62-404B-4695-B494-2EBD8388382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Rebecca Silva</dc:creator>
  <cp:keywords/>
  <dc:description/>
  <cp:lastModifiedBy/>
  <cp:revision/>
  <dcterms:created xsi:type="dcterms:W3CDTF">2024-04-06T19:23:27Z</dcterms:created>
  <dcterms:modified xsi:type="dcterms:W3CDTF">2026-02-19T22:20:23Z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0x010100D1F3F91BDD91824590ED58DB73FB1AA8</vt:lpwstr>
  </property>
</Properties>
</file>